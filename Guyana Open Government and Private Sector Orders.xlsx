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All Open Orders" sheetId="2" state="visible" r:id="rId4"/>
    <sheet name="Government" sheetId="3" state="visible" r:id="rId5"/>
    <sheet name="Private &amp; Multilateral" sheetId="4" state="visible" r:id="rId6"/>
    <sheet name="Verify First" sheetId="5" state="visible" r:id="rId7"/>
    <sheet name="Guide &amp; Sources" sheetId="6" state="visible" r:id="rId8"/>
  </sheets>
  <definedNames>
    <definedName function="false" hidden="true" localSheetId="1" name="_xlnm._FilterDatabase" vbProcedure="false">'All Open Orders'!$A$4:$M$51</definedName>
    <definedName function="false" hidden="true" localSheetId="2" name="_xlnm._FilterDatabase" vbProcedure="false">Government!$A$4:$M$32</definedName>
    <definedName function="false" hidden="true" localSheetId="3" name="_xlnm._FilterDatabase" vbProcedure="false">'Private &amp; Multilateral'!$A$4:$M$23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L5" authorId="0">
      <text>
        <r>
          <rPr>
            <sz val="10"/>
            <rFont val="Arial"/>
            <family val="2"/>
          </rPr>
          <t xml:space="preserve">https://dpi.gov.gy/wp-content/uploads/2026/09/14inx-3col-MoH-Request-for-expression-of-interest-extension.pdf</t>
        </r>
      </text>
    </comment>
    <comment ref="L6" authorId="0">
      <text>
        <r>
          <rPr>
            <sz val="10"/>
            <rFont val="Arial"/>
            <family val="2"/>
          </rPr>
          <t xml:space="preserve">https://lcregister.petroleum.gov.gy/opportunities/</t>
        </r>
      </text>
    </comment>
    <comment ref="L7" authorId="0">
      <text>
        <r>
          <rPr>
            <sz val="10"/>
            <rFont val="Arial"/>
            <family val="2"/>
          </rPr>
          <t xml:space="preserve">https://chpa.gov.gy/ministry-of-housing-chpa-invitation-for-expressions-of-interest-for-the-construction-of-400-square-feet-houses-under-the-social-housing-programme/</t>
        </r>
      </text>
    </comment>
    <comment ref="L8" authorId="0">
      <text>
        <r>
          <rPr>
            <sz val="10"/>
            <rFont val="Arial"/>
            <family val="2"/>
          </rPr>
          <t xml:space="preserve">https://lcregister.petroleum.gov.gy/opportunities/</t>
        </r>
      </text>
    </comment>
    <comment ref="L9" authorId="0">
      <text>
        <r>
          <rPr>
            <sz val="10"/>
            <rFont val="Arial"/>
            <family val="2"/>
          </rPr>
          <t xml:space="preserve">https://eprocure.gov.gy/files/Advert- Rehabilitation works for the Bartica 5 Miles Raw Water Intake Structure, Sept_22_26.pdf</t>
        </r>
      </text>
    </comment>
    <comment ref="L10" authorId="0">
      <text>
        <r>
          <rPr>
            <sz val="10"/>
            <rFont val="Arial"/>
            <family val="2"/>
          </rPr>
          <t xml:space="preserve">https://lcregister.petroleum.gov.gy/opportunities/</t>
        </r>
      </text>
    </comment>
    <comment ref="L11" authorId="0">
      <text>
        <r>
          <rPr>
            <sz val="10"/>
            <rFont val="Arial"/>
            <family val="2"/>
          </rPr>
          <t xml:space="preserve">https://lcregister.petroleum.gov.gy/opportunities/</t>
        </r>
      </text>
    </comment>
    <comment ref="L12" authorId="0">
      <text>
        <r>
          <rPr>
            <sz val="10"/>
            <rFont val="Arial"/>
            <family val="2"/>
          </rPr>
          <t xml:space="preserve">https://lcregister.petroleum.gov.gy/opportunities/</t>
        </r>
      </text>
    </comment>
    <comment ref="L13" authorId="0">
      <text>
        <r>
          <rPr>
            <sz val="10"/>
            <rFont val="Arial"/>
            <family val="2"/>
          </rPr>
          <t xml:space="preserve">https://lcregister.petroleum.gov.gy/opportunities/</t>
        </r>
      </text>
    </comment>
    <comment ref="L14" authorId="0">
      <text>
        <r>
          <rPr>
            <sz val="10"/>
            <rFont val="Arial"/>
            <family val="2"/>
          </rPr>
          <t xml:space="preserve">https://gplinc.com/pl/plc/media/SEMD-002-2026-.pdf</t>
        </r>
      </text>
    </comment>
    <comment ref="L15" authorId="0">
      <text>
        <r>
          <rPr>
            <sz val="10"/>
            <rFont val="Arial"/>
            <family val="2"/>
          </rPr>
          <t xml:space="preserve">https://eprocure.gov.gy/files/GWI Advertisements.pdf</t>
        </r>
      </text>
    </comment>
    <comment ref="L16" authorId="0">
      <text>
        <r>
          <rPr>
            <sz val="10"/>
            <rFont val="Arial"/>
            <family val="2"/>
          </rPr>
          <t xml:space="preserve">https://eprocure.gov.gy/files/GWI Advertisements.pdf</t>
        </r>
      </text>
    </comment>
    <comment ref="L17" authorId="0">
      <text>
        <r>
          <rPr>
            <sz val="10"/>
            <rFont val="Arial"/>
            <family val="2"/>
          </rPr>
          <t xml:space="preserve">https://eprocure.gov.gy/files/GWI Advertisements.pdf</t>
        </r>
      </text>
    </comment>
    <comment ref="L18" authorId="0">
      <text>
        <r>
          <rPr>
            <sz val="10"/>
            <rFont val="Arial"/>
            <family val="2"/>
          </rPr>
          <t xml:space="preserve">https://eprocure.gov.gy/files/GWI Advertisements.pdf</t>
        </r>
      </text>
    </comment>
    <comment ref="L19" authorId="0">
      <text>
        <r>
          <rPr>
            <sz val="10"/>
            <rFont val="Arial"/>
            <family val="2"/>
          </rPr>
          <t xml:space="preserve">https://eprocure.gov.gy/files/GWI Advertisements.pdf</t>
        </r>
      </text>
    </comment>
    <comment ref="L20" authorId="0">
      <text>
        <r>
          <rPr>
            <sz val="10"/>
            <rFont val="Arial"/>
            <family val="2"/>
          </rPr>
          <t xml:space="preserve">https://eprocure.gov.gy/files/expession of interest.pdf</t>
        </r>
      </text>
    </comment>
    <comment ref="L21" authorId="0">
      <text>
        <r>
          <rPr>
            <sz val="10"/>
            <rFont val="Arial"/>
            <family val="2"/>
          </rPr>
          <t xml:space="preserve">https://dpi.gov.gy/wp-content/uploads/2026/09/6in-x-3col-Guyoil-RFP-Supply-of-Pertroleum.pdf</t>
        </r>
      </text>
    </comment>
    <comment ref="L22" authorId="0">
      <text>
        <r>
          <rPr>
            <sz val="10"/>
            <rFont val="Arial"/>
            <family val="2"/>
          </rPr>
          <t xml:space="preserve">https://eprocure.gov.gy/files/GPL-PD-028-2026 Tender Bulletin (1).pdf</t>
        </r>
      </text>
    </comment>
    <comment ref="L23" authorId="0">
      <text>
        <r>
          <rPr>
            <sz val="10"/>
            <rFont val="Arial"/>
            <family val="2"/>
          </rPr>
          <t xml:space="preserve">https://eprocure.gov.gy/files/HECI Adv.pdf</t>
        </r>
      </text>
    </comment>
    <comment ref="L24" authorId="0">
      <text>
        <r>
          <rPr>
            <sz val="10"/>
            <rFont val="Arial"/>
            <family val="2"/>
          </rPr>
          <t xml:space="preserve">https://eprocure.gov.gy/files/SPN- P501759-CW-1.pdf</t>
        </r>
      </text>
    </comment>
    <comment ref="L25" authorId="0">
      <text>
        <r>
          <rPr>
            <sz val="10"/>
            <rFont val="Arial"/>
            <family val="2"/>
          </rPr>
          <t xml:space="preserve">https://lcregister.petroleum.gov.gy/opportunities/</t>
        </r>
      </text>
    </comment>
    <comment ref="L26" authorId="0">
      <text>
        <r>
          <rPr>
            <sz val="10"/>
            <rFont val="Arial"/>
            <family val="2"/>
          </rPr>
          <t xml:space="preserve">https://lcregister.petroleum.gov.gy/opportunities/</t>
        </r>
      </text>
    </comment>
    <comment ref="L27" authorId="0">
      <text>
        <r>
          <rPr>
            <sz val="10"/>
            <rFont val="Arial"/>
            <family val="2"/>
          </rPr>
          <t xml:space="preserve">https://lcregister.petroleum.gov.gy/opportunities/</t>
        </r>
      </text>
    </comment>
    <comment ref="L28" authorId="0">
      <text>
        <r>
          <rPr>
            <sz val="10"/>
            <rFont val="Arial"/>
            <family val="2"/>
          </rPr>
          <t xml:space="preserve">https://eprocure.gov.gy/files/GPL-PD-026-2026 Tender Bulletin (1).pdf</t>
        </r>
      </text>
    </comment>
    <comment ref="L29" authorId="0">
      <text>
        <r>
          <rPr>
            <sz val="10"/>
            <rFont val="Arial"/>
            <family val="2"/>
          </rPr>
          <t xml:space="preserve">https://eprocure.gov.gy/files/IFB- GWI-CDB-W104-2026 - Adventure Transmission Mains Lots 1 - 4 Oct.pdf</t>
        </r>
      </text>
    </comment>
    <comment ref="L30" authorId="0">
      <text>
        <r>
          <rPr>
            <sz val="10"/>
            <rFont val="Arial"/>
            <family val="2"/>
          </rPr>
          <t xml:space="preserve">https://guyanawaterinc.com/sites/default/files/attachments/IFB - GWI-CDB-W100-2026 - Bath Transmission Mains Lot 1 - 4 Oct_06_2026.pdf</t>
        </r>
      </text>
    </comment>
    <comment ref="L31" authorId="0">
      <text>
        <r>
          <rPr>
            <sz val="10"/>
            <rFont val="Arial"/>
            <family val="2"/>
          </rPr>
          <t xml:space="preserve">https://eprocure.gov.gy/files/IFB - GWI CDB-W101-2026 - Leguan Transmission Mains Oct__06_2026.pdf</t>
        </r>
      </text>
    </comment>
    <comment ref="L32" authorId="0">
      <text>
        <r>
          <rPr>
            <sz val="10"/>
            <rFont val="Arial"/>
            <family val="2"/>
          </rPr>
          <t xml:space="preserve">https://eprocure.gov.gy/files/IFB- GWI-CDB-W102-2026 - Wakenaam Transmission Mains Oct_06_2026.pdf</t>
        </r>
      </text>
    </comment>
    <comment ref="L33" authorId="0">
      <text>
        <r>
          <rPr>
            <sz val="10"/>
            <rFont val="Arial"/>
            <family val="2"/>
          </rPr>
          <t xml:space="preserve">https://eprocure.gov.gy/files/IFB- GWI-CDB-W103-2026 - Maria's Delight Transmission Mains Lot 1 -4 Oct__06_2026.pdf</t>
        </r>
      </text>
    </comment>
    <comment ref="L34" authorId="0">
      <text>
        <r>
          <rPr>
            <sz val="10"/>
            <rFont val="Arial"/>
            <family val="2"/>
          </rPr>
          <t xml:space="preserve">https://chpa.gov.gy/invitation-for-bids-ifb-drilling-of-potable-water-wells/</t>
        </r>
      </text>
    </comment>
    <comment ref="L35" authorId="0">
      <text>
        <r>
          <rPr>
            <sz val="10"/>
            <rFont val="Arial"/>
            <family val="2"/>
          </rPr>
          <t xml:space="preserve">https://chpa.gov.gy/invitation-for-bids-ifb-drilling-of-potable-water-wells/</t>
        </r>
      </text>
    </comment>
    <comment ref="L36" authorId="0">
      <text>
        <r>
          <rPr>
            <sz val="10"/>
            <rFont val="Arial"/>
            <family val="2"/>
          </rPr>
          <t xml:space="preserve">https://chpa.gov.gy/invitation-for-bids-ifb-drilling-of-potable-water-wells/</t>
        </r>
      </text>
    </comment>
    <comment ref="L37" authorId="0">
      <text>
        <r>
          <rPr>
            <sz val="10"/>
            <rFont val="Arial"/>
            <family val="2"/>
          </rPr>
          <t xml:space="preserve">https://chpa.gov.gy/invitation-for-bids-ifb-drilling-of-potable-water-wells/</t>
        </r>
      </text>
    </comment>
    <comment ref="L38" authorId="0">
      <text>
        <r>
          <rPr>
            <sz val="10"/>
            <rFont val="Arial"/>
            <family val="2"/>
          </rPr>
          <t xml:space="preserve">https://lcregister.petroleum.gov.gy/opportunities/</t>
        </r>
      </text>
    </comment>
    <comment ref="L39" authorId="0">
      <text>
        <r>
          <rPr>
            <sz val="10"/>
            <rFont val="Arial"/>
            <family val="2"/>
          </rPr>
          <t xml:space="preserve">https://eprocure.gov.gy/files/GPL-PD-030-2026 Tender Bulletin.pdf</t>
        </r>
      </text>
    </comment>
    <comment ref="L40" authorId="0">
      <text>
        <r>
          <rPr>
            <sz val="10"/>
            <rFont val="Arial"/>
            <family val="2"/>
          </rPr>
          <t xml:space="preserve">https://lcregister.petroleum.gov.gy/opportunities/</t>
        </r>
      </text>
    </comment>
    <comment ref="L41" authorId="0">
      <text>
        <r>
          <rPr>
            <sz val="10"/>
            <rFont val="Arial"/>
            <family val="2"/>
          </rPr>
          <t xml:space="preserve">https://lcregister.petroleum.gov.gy/opportunities/</t>
        </r>
      </text>
    </comment>
    <comment ref="L42" authorId="0">
      <text>
        <r>
          <rPr>
            <sz val="10"/>
            <rFont val="Arial"/>
            <family val="2"/>
          </rPr>
          <t xml:space="preserve">https://lcregister.petroleum.gov.gy/opportunities/</t>
        </r>
      </text>
    </comment>
    <comment ref="L43" authorId="0">
      <text>
        <r>
          <rPr>
            <sz val="10"/>
            <rFont val="Arial"/>
            <family val="2"/>
          </rPr>
          <t xml:space="preserve">https://lcregister.petroleum.gov.gy/opportunities/</t>
        </r>
      </text>
    </comment>
    <comment ref="L44" authorId="0">
      <text>
        <r>
          <rPr>
            <sz val="10"/>
            <rFont val="Arial"/>
            <family val="2"/>
          </rPr>
          <t xml:space="preserve">https://lcregister.petroleum.gov.gy/opportunities/</t>
        </r>
      </text>
    </comment>
    <comment ref="L45" authorId="0">
      <text>
        <r>
          <rPr>
            <sz val="10"/>
            <rFont val="Arial"/>
            <family val="2"/>
          </rPr>
          <t xml:space="preserve">https://lcregister.petroleum.gov.gy/opportunities/</t>
        </r>
      </text>
    </comment>
    <comment ref="L46" authorId="0">
      <text>
        <r>
          <rPr>
            <sz val="10"/>
            <rFont val="Arial"/>
            <family val="2"/>
          </rPr>
          <t xml:space="preserve">https://lcregister.petroleum.gov.gy/opportunities/</t>
        </r>
      </text>
    </comment>
    <comment ref="L47" authorId="0">
      <text>
        <r>
          <rPr>
            <sz val="10"/>
            <rFont val="Arial"/>
            <family val="2"/>
          </rPr>
          <t xml:space="preserve">https://lcregister.petroleum.gov.gy/supplier-notice/replacement-of-water-filter-media/</t>
        </r>
      </text>
    </comment>
    <comment ref="L48" authorId="0">
      <text>
        <r>
          <rPr>
            <sz val="10"/>
            <rFont val="Arial"/>
            <family val="2"/>
          </rPr>
          <t xml:space="preserve">https://eprocure.gov.gy/files/INVITATION FOR BIDS-Security Services PSM WORD.pdf</t>
        </r>
      </text>
    </comment>
    <comment ref="L49" authorId="0">
      <text>
        <r>
          <rPr>
            <sz val="10"/>
            <rFont val="Arial"/>
            <family val="2"/>
          </rPr>
          <t xml:space="preserve">https://dpi.gov.gy/ministry-of-home-affairs-invitation-for-bids-15/</t>
        </r>
      </text>
    </comment>
    <comment ref="L50" authorId="0">
      <text>
        <r>
          <rPr>
            <sz val="10"/>
            <rFont val="Arial"/>
            <family val="2"/>
          </rPr>
          <t xml:space="preserve">https://dpi.gov.gy/ministry-of-home-affairs-invitation-for-bids-15/</t>
        </r>
      </text>
    </comment>
    <comment ref="L51" authorId="0">
      <text>
        <r>
          <rPr>
            <sz val="10"/>
            <rFont val="Arial"/>
            <family val="2"/>
          </rPr>
          <t xml:space="preserve">https://procurement-notices.undp.org/view_negotiation.cfm?nego_id=13551</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L5" authorId="0">
      <text>
        <r>
          <rPr>
            <sz val="10"/>
            <rFont val="Arial"/>
            <family val="2"/>
          </rPr>
          <t xml:space="preserve">https://dpi.gov.gy/wp-content/uploads/2026/09/14inx-3col-MoH-Request-for-expression-of-interest-extension.pdf</t>
        </r>
      </text>
    </comment>
    <comment ref="L6" authorId="0">
      <text>
        <r>
          <rPr>
            <sz val="10"/>
            <rFont val="Arial"/>
            <family val="2"/>
          </rPr>
          <t xml:space="preserve">https://chpa.gov.gy/ministry-of-housing-chpa-invitation-for-expressions-of-interest-for-the-construction-of-400-square-feet-houses-under-the-social-housing-programme/</t>
        </r>
      </text>
    </comment>
    <comment ref="L7" authorId="0">
      <text>
        <r>
          <rPr>
            <sz val="10"/>
            <rFont val="Arial"/>
            <family val="2"/>
          </rPr>
          <t xml:space="preserve">https://eprocure.gov.gy/files/Advert- Rehabilitation works for the Bartica 5 Miles Raw Water Intake Structure, Sept_22_26.pdf</t>
        </r>
      </text>
    </comment>
    <comment ref="L8" authorId="0">
      <text>
        <r>
          <rPr>
            <sz val="10"/>
            <rFont val="Arial"/>
            <family val="2"/>
          </rPr>
          <t xml:space="preserve">https://gplinc.com/pl/plc/media/SEMD-002-2026-.pdf</t>
        </r>
      </text>
    </comment>
    <comment ref="L9" authorId="0">
      <text>
        <r>
          <rPr>
            <sz val="10"/>
            <rFont val="Arial"/>
            <family val="2"/>
          </rPr>
          <t xml:space="preserve">https://eprocure.gov.gy/files/GWI Advertisements.pdf</t>
        </r>
      </text>
    </comment>
    <comment ref="L10" authorId="0">
      <text>
        <r>
          <rPr>
            <sz val="10"/>
            <rFont val="Arial"/>
            <family val="2"/>
          </rPr>
          <t xml:space="preserve">https://eprocure.gov.gy/files/GWI Advertisements.pdf</t>
        </r>
      </text>
    </comment>
    <comment ref="L11" authorId="0">
      <text>
        <r>
          <rPr>
            <sz val="10"/>
            <rFont val="Arial"/>
            <family val="2"/>
          </rPr>
          <t xml:space="preserve">https://eprocure.gov.gy/files/GWI Advertisements.pdf</t>
        </r>
      </text>
    </comment>
    <comment ref="L12" authorId="0">
      <text>
        <r>
          <rPr>
            <sz val="10"/>
            <rFont val="Arial"/>
            <family val="2"/>
          </rPr>
          <t xml:space="preserve">https://eprocure.gov.gy/files/GWI Advertisements.pdf</t>
        </r>
      </text>
    </comment>
    <comment ref="L13" authorId="0">
      <text>
        <r>
          <rPr>
            <sz val="10"/>
            <rFont val="Arial"/>
            <family val="2"/>
          </rPr>
          <t xml:space="preserve">https://eprocure.gov.gy/files/GWI Advertisements.pdf</t>
        </r>
      </text>
    </comment>
    <comment ref="L14" authorId="0">
      <text>
        <r>
          <rPr>
            <sz val="10"/>
            <rFont val="Arial"/>
            <family val="2"/>
          </rPr>
          <t xml:space="preserve">https://eprocure.gov.gy/files/expession of interest.pdf</t>
        </r>
      </text>
    </comment>
    <comment ref="L15" authorId="0">
      <text>
        <r>
          <rPr>
            <sz val="10"/>
            <rFont val="Arial"/>
            <family val="2"/>
          </rPr>
          <t xml:space="preserve">https://dpi.gov.gy/wp-content/uploads/2026/09/6in-x-3col-Guyoil-RFP-Supply-of-Pertroleum.pdf</t>
        </r>
      </text>
    </comment>
    <comment ref="L16" authorId="0">
      <text>
        <r>
          <rPr>
            <sz val="10"/>
            <rFont val="Arial"/>
            <family val="2"/>
          </rPr>
          <t xml:space="preserve">https://eprocure.gov.gy/files/GPL-PD-028-2026 Tender Bulletin (1).pdf</t>
        </r>
      </text>
    </comment>
    <comment ref="L17" authorId="0">
      <text>
        <r>
          <rPr>
            <sz val="10"/>
            <rFont val="Arial"/>
            <family val="2"/>
          </rPr>
          <t xml:space="preserve">https://eprocure.gov.gy/files/HECI Adv.pdf</t>
        </r>
      </text>
    </comment>
    <comment ref="L18" authorId="0">
      <text>
        <r>
          <rPr>
            <sz val="10"/>
            <rFont val="Arial"/>
            <family val="2"/>
          </rPr>
          <t xml:space="preserve">https://eprocure.gov.gy/files/SPN- P501759-CW-1.pdf</t>
        </r>
      </text>
    </comment>
    <comment ref="L19" authorId="0">
      <text>
        <r>
          <rPr>
            <sz val="10"/>
            <rFont val="Arial"/>
            <family val="2"/>
          </rPr>
          <t xml:space="preserve">https://eprocure.gov.gy/files/GPL-PD-026-2026 Tender Bulletin (1).pdf</t>
        </r>
      </text>
    </comment>
    <comment ref="L20" authorId="0">
      <text>
        <r>
          <rPr>
            <sz val="10"/>
            <rFont val="Arial"/>
            <family val="2"/>
          </rPr>
          <t xml:space="preserve">https://eprocure.gov.gy/files/IFB- GWI-CDB-W104-2026 - Adventure Transmission Mains Lots 1 - 4 Oct.pdf</t>
        </r>
      </text>
    </comment>
    <comment ref="L21" authorId="0">
      <text>
        <r>
          <rPr>
            <sz val="10"/>
            <rFont val="Arial"/>
            <family val="2"/>
          </rPr>
          <t xml:space="preserve">https://guyanawaterinc.com/sites/default/files/attachments/IFB - GWI-CDB-W100-2026 - Bath Transmission Mains Lot 1 - 4 Oct_06_2026.pdf</t>
        </r>
      </text>
    </comment>
    <comment ref="L22" authorId="0">
      <text>
        <r>
          <rPr>
            <sz val="10"/>
            <rFont val="Arial"/>
            <family val="2"/>
          </rPr>
          <t xml:space="preserve">https://eprocure.gov.gy/files/IFB - GWI CDB-W101-2026 - Leguan Transmission Mains Oct__06_2026.pdf</t>
        </r>
      </text>
    </comment>
    <comment ref="L23" authorId="0">
      <text>
        <r>
          <rPr>
            <sz val="10"/>
            <rFont val="Arial"/>
            <family val="2"/>
          </rPr>
          <t xml:space="preserve">https://eprocure.gov.gy/files/IFB- GWI-CDB-W102-2026 - Wakenaam Transmission Mains Oct_06_2026.pdf</t>
        </r>
      </text>
    </comment>
    <comment ref="L24" authorId="0">
      <text>
        <r>
          <rPr>
            <sz val="10"/>
            <rFont val="Arial"/>
            <family val="2"/>
          </rPr>
          <t xml:space="preserve">https://eprocure.gov.gy/files/IFB- GWI-CDB-W103-2026 - Maria's Delight Transmission Mains Lot 1 -4 Oct__06_2026.pdf</t>
        </r>
      </text>
    </comment>
    <comment ref="L25" authorId="0">
      <text>
        <r>
          <rPr>
            <sz val="10"/>
            <rFont val="Arial"/>
            <family val="2"/>
          </rPr>
          <t xml:space="preserve">https://chpa.gov.gy/invitation-for-bids-ifb-drilling-of-potable-water-wells/</t>
        </r>
      </text>
    </comment>
    <comment ref="L26" authorId="0">
      <text>
        <r>
          <rPr>
            <sz val="10"/>
            <rFont val="Arial"/>
            <family val="2"/>
          </rPr>
          <t xml:space="preserve">https://chpa.gov.gy/invitation-for-bids-ifb-drilling-of-potable-water-wells/</t>
        </r>
      </text>
    </comment>
    <comment ref="L27" authorId="0">
      <text>
        <r>
          <rPr>
            <sz val="10"/>
            <rFont val="Arial"/>
            <family val="2"/>
          </rPr>
          <t xml:space="preserve">https://chpa.gov.gy/invitation-for-bids-ifb-drilling-of-potable-water-wells/</t>
        </r>
      </text>
    </comment>
    <comment ref="L28" authorId="0">
      <text>
        <r>
          <rPr>
            <sz val="10"/>
            <rFont val="Arial"/>
            <family val="2"/>
          </rPr>
          <t xml:space="preserve">https://chpa.gov.gy/invitation-for-bids-ifb-drilling-of-potable-water-wells/</t>
        </r>
      </text>
    </comment>
    <comment ref="L29" authorId="0">
      <text>
        <r>
          <rPr>
            <sz val="10"/>
            <rFont val="Arial"/>
            <family val="2"/>
          </rPr>
          <t xml:space="preserve">https://eprocure.gov.gy/files/GPL-PD-030-2026 Tender Bulletin.pdf</t>
        </r>
      </text>
    </comment>
    <comment ref="L30" authorId="0">
      <text>
        <r>
          <rPr>
            <sz val="10"/>
            <rFont val="Arial"/>
            <family val="2"/>
          </rPr>
          <t xml:space="preserve">https://eprocure.gov.gy/files/INVITATION FOR BIDS-Security Services PSM WORD.pdf</t>
        </r>
      </text>
    </comment>
    <comment ref="L31" authorId="0">
      <text>
        <r>
          <rPr>
            <sz val="10"/>
            <rFont val="Arial"/>
            <family val="2"/>
          </rPr>
          <t xml:space="preserve">https://dpi.gov.gy/ministry-of-home-affairs-invitation-for-bids-15/</t>
        </r>
      </text>
    </comment>
    <comment ref="L32" authorId="0">
      <text>
        <r>
          <rPr>
            <sz val="10"/>
            <rFont val="Arial"/>
            <family val="2"/>
          </rPr>
          <t xml:space="preserve">https://dpi.gov.gy/ministry-of-home-affairs-invitation-for-bids-15/</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L5" authorId="0">
      <text>
        <r>
          <rPr>
            <sz val="10"/>
            <rFont val="Arial"/>
            <family val="2"/>
          </rPr>
          <t xml:space="preserve">https://lcregister.petroleum.gov.gy/opportunities/</t>
        </r>
      </text>
    </comment>
    <comment ref="L6" authorId="0">
      <text>
        <r>
          <rPr>
            <sz val="10"/>
            <rFont val="Arial"/>
            <family val="2"/>
          </rPr>
          <t xml:space="preserve">https://lcregister.petroleum.gov.gy/opportunities/</t>
        </r>
      </text>
    </comment>
    <comment ref="L7" authorId="0">
      <text>
        <r>
          <rPr>
            <sz val="10"/>
            <rFont val="Arial"/>
            <family val="2"/>
          </rPr>
          <t xml:space="preserve">https://lcregister.petroleum.gov.gy/opportunities/</t>
        </r>
      </text>
    </comment>
    <comment ref="L8" authorId="0">
      <text>
        <r>
          <rPr>
            <sz val="10"/>
            <rFont val="Arial"/>
            <family val="2"/>
          </rPr>
          <t xml:space="preserve">https://lcregister.petroleum.gov.gy/opportunities/</t>
        </r>
      </text>
    </comment>
    <comment ref="L9" authorId="0">
      <text>
        <r>
          <rPr>
            <sz val="10"/>
            <rFont val="Arial"/>
            <family val="2"/>
          </rPr>
          <t xml:space="preserve">https://lcregister.petroleum.gov.gy/opportunities/</t>
        </r>
      </text>
    </comment>
    <comment ref="L10" authorId="0">
      <text>
        <r>
          <rPr>
            <sz val="10"/>
            <rFont val="Arial"/>
            <family val="2"/>
          </rPr>
          <t xml:space="preserve">https://lcregister.petroleum.gov.gy/opportunities/</t>
        </r>
      </text>
    </comment>
    <comment ref="L11" authorId="0">
      <text>
        <r>
          <rPr>
            <sz val="10"/>
            <rFont val="Arial"/>
            <family val="2"/>
          </rPr>
          <t xml:space="preserve">https://lcregister.petroleum.gov.gy/opportunities/</t>
        </r>
      </text>
    </comment>
    <comment ref="L12" authorId="0">
      <text>
        <r>
          <rPr>
            <sz val="10"/>
            <rFont val="Arial"/>
            <family val="2"/>
          </rPr>
          <t xml:space="preserve">https://lcregister.petroleum.gov.gy/opportunities/</t>
        </r>
      </text>
    </comment>
    <comment ref="L13" authorId="0">
      <text>
        <r>
          <rPr>
            <sz val="10"/>
            <rFont val="Arial"/>
            <family val="2"/>
          </rPr>
          <t xml:space="preserve">https://lcregister.petroleum.gov.gy/opportunities/</t>
        </r>
      </text>
    </comment>
    <comment ref="L14" authorId="0">
      <text>
        <r>
          <rPr>
            <sz val="10"/>
            <rFont val="Arial"/>
            <family val="2"/>
          </rPr>
          <t xml:space="preserve">https://lcregister.petroleum.gov.gy/opportunities/</t>
        </r>
      </text>
    </comment>
    <comment ref="L15" authorId="0">
      <text>
        <r>
          <rPr>
            <sz val="10"/>
            <rFont val="Arial"/>
            <family val="2"/>
          </rPr>
          <t xml:space="preserve">https://lcregister.petroleum.gov.gy/opportunities/</t>
        </r>
      </text>
    </comment>
    <comment ref="L16" authorId="0">
      <text>
        <r>
          <rPr>
            <sz val="10"/>
            <rFont val="Arial"/>
            <family val="2"/>
          </rPr>
          <t xml:space="preserve">https://lcregister.petroleum.gov.gy/opportunities/</t>
        </r>
      </text>
    </comment>
    <comment ref="L17" authorId="0">
      <text>
        <r>
          <rPr>
            <sz val="10"/>
            <rFont val="Arial"/>
            <family val="2"/>
          </rPr>
          <t xml:space="preserve">https://lcregister.petroleum.gov.gy/opportunities/</t>
        </r>
      </text>
    </comment>
    <comment ref="L18" authorId="0">
      <text>
        <r>
          <rPr>
            <sz val="10"/>
            <rFont val="Arial"/>
            <family val="2"/>
          </rPr>
          <t xml:space="preserve">https://lcregister.petroleum.gov.gy/opportunities/</t>
        </r>
      </text>
    </comment>
    <comment ref="L19" authorId="0">
      <text>
        <r>
          <rPr>
            <sz val="10"/>
            <rFont val="Arial"/>
            <family val="2"/>
          </rPr>
          <t xml:space="preserve">https://lcregister.petroleum.gov.gy/opportunities/</t>
        </r>
      </text>
    </comment>
    <comment ref="L20" authorId="0">
      <text>
        <r>
          <rPr>
            <sz val="10"/>
            <rFont val="Arial"/>
            <family val="2"/>
          </rPr>
          <t xml:space="preserve">https://lcregister.petroleum.gov.gy/opportunities/</t>
        </r>
      </text>
    </comment>
    <comment ref="L21" authorId="0">
      <text>
        <r>
          <rPr>
            <sz val="10"/>
            <rFont val="Arial"/>
            <family val="2"/>
          </rPr>
          <t xml:space="preserve">https://lcregister.petroleum.gov.gy/opportunities/</t>
        </r>
      </text>
    </comment>
    <comment ref="L22" authorId="0">
      <text>
        <r>
          <rPr>
            <sz val="10"/>
            <rFont val="Arial"/>
            <family val="2"/>
          </rPr>
          <t xml:space="preserve">https://lcregister.petroleum.gov.gy/supplier-notice/replacement-of-water-filter-media/</t>
        </r>
      </text>
    </comment>
    <comment ref="L23" authorId="0">
      <text>
        <r>
          <rPr>
            <sz val="10"/>
            <rFont val="Arial"/>
            <family val="2"/>
          </rPr>
          <t xml:space="preserve">https://procurement-notices.undp.org/view_negotiation.cfm?nego_id=13551</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G5" authorId="0">
      <text>
        <r>
          <rPr>
            <sz val="10"/>
            <rFont val="Arial"/>
            <family val="2"/>
          </rPr>
          <t xml:space="preserve">https://dpi.gov.gy/ministry-of-agriculture-hydrometeorological-service-instructions-to-consultants/</t>
        </r>
      </text>
    </comment>
    <comment ref="G6" authorId="0">
      <text>
        <r>
          <rPr>
            <sz val="10"/>
            <rFont val="Arial"/>
            <family val="2"/>
          </rPr>
          <t xml:space="preserve">https://dpi.gov.gy/category/government-adverts/invitation-for-bids/</t>
        </r>
      </text>
    </comment>
    <comment ref="G7" authorId="0">
      <text>
        <r>
          <rPr>
            <sz val="10"/>
            <rFont val="Arial"/>
            <family val="2"/>
          </rPr>
          <t xml:space="preserve">https://dpi.gov.gy/category/government-adverts/invitation-for-bids/</t>
        </r>
      </text>
    </comment>
    <comment ref="G8" authorId="0">
      <text>
        <r>
          <rPr>
            <sz val="10"/>
            <rFont val="Arial"/>
            <family val="2"/>
          </rPr>
          <t xml:space="preserve">https://dpi.gov.gy/category/government-adverts/invitation-for-bids/</t>
        </r>
      </text>
    </comment>
    <comment ref="G9" authorId="0">
      <text>
        <r>
          <rPr>
            <sz val="10"/>
            <rFont val="Arial"/>
            <family val="2"/>
          </rPr>
          <t xml:space="preserve">https://dpi.gov.gy/category/government-adverts/invitation-for-bids/</t>
        </r>
      </text>
    </comment>
    <comment ref="G10" authorId="0">
      <text>
        <r>
          <rPr>
            <sz val="10"/>
            <rFont val="Arial"/>
            <family val="2"/>
          </rPr>
          <t xml:space="preserve">https://dpi.gov.gy/category/government-adverts/invitation-for-bids/</t>
        </r>
      </text>
    </comment>
    <comment ref="G11" authorId="0">
      <text>
        <r>
          <rPr>
            <sz val="10"/>
            <rFont val="Arial"/>
            <family val="2"/>
          </rPr>
          <t xml:space="preserve">http://www.iadb.org/en/project/GY-L1080</t>
        </r>
      </text>
    </comment>
    <comment ref="G12" authorId="0">
      <text>
        <r>
          <rPr>
            <sz val="10"/>
            <rFont val="Arial"/>
            <family val="2"/>
          </rPr>
          <t xml:space="preserve">https://www.caribank.org/work-with-us/procurement/procurement-notices/guyana-skills-development-and-employability-project-gsdep-cdb-19/sfr-guy-extension-deadline</t>
        </r>
      </text>
    </comment>
  </commentList>
</comments>
</file>

<file path=xl/sharedStrings.xml><?xml version="1.0" encoding="utf-8"?>
<sst xmlns="http://schemas.openxmlformats.org/spreadsheetml/2006/main" count="1158" uniqueCount="343">
  <si>
    <t xml:space="preserve">Guyana Open Orders Tracker</t>
  </si>
  <si>
    <t xml:space="preserve">Government, private-sector oil and gas, and multilateral opportunities</t>
  </si>
  <si>
    <t xml:space="preserve">Snapshot date</t>
  </si>
  <si>
    <t xml:space="preserve">Total open items</t>
  </si>
  <si>
    <t xml:space="preserve">Government</t>
  </si>
  <si>
    <t xml:space="preserve">Private sector</t>
  </si>
  <si>
    <t xml:space="preserve">Multilateral</t>
  </si>
  <si>
    <t xml:space="preserve">Known deadlines</t>
  </si>
  <si>
    <t xml:space="preserve">Deadline to verify</t>
  </si>
  <si>
    <t xml:space="preserve">Due within 7 days</t>
  </si>
  <si>
    <t xml:space="preserve">Due within 21 days</t>
  </si>
  <si>
    <t xml:space="preserve">How to use this workbook</t>
  </si>
  <si>
    <t xml:space="preserve">• Start with All Open Orders, then filter by buyer type, category, deadline, or buyer.</t>
  </si>
  <si>
    <t xml:space="preserve">• Red deadline cells mean the closing date could not be verified. Confirm those notices before spending money or preparing a bid.</t>
  </si>
  <si>
    <t xml:space="preserve">• Where exact quantities are not public, the sheet says so. Obtain the full tender document or bill of quantities from the buyer.</t>
  </si>
  <si>
    <t xml:space="preserve">• Private oil and gas notices commonly require a Guyana Local Content Certificate or proof of application.</t>
  </si>
  <si>
    <t xml:space="preserve">• The Verify First tab contains additional postings that may be open but were not counted because the deadline or details could not be confirmed.</t>
  </si>
  <si>
    <t xml:space="preserve">Important limitation</t>
  </si>
  <si>
    <t xml:space="preserve">This is a snapshot as of 13 September 2026, not a guarantee that every item remains open after that date. Buyer notices control. Three counted items have deadlines that still need verification. Exact quantities are often withheld from public notices and appear only in paid or collected bid documents.</t>
  </si>
  <si>
    <t xml:space="preserve">All Open Orders</t>
  </si>
  <si>
    <t xml:space="preserve">Open opportunities identified on 13 September 2026. Total: 47</t>
  </si>
  <si>
    <t xml:space="preserve">ID</t>
  </si>
  <si>
    <t xml:space="preserve">Buyer type</t>
  </si>
  <si>
    <t xml:space="preserve">Buyer / procuring entity</t>
  </si>
  <si>
    <t xml:space="preserve">Opportunity</t>
  </si>
  <si>
    <t xml:space="preserve">Reference</t>
  </si>
  <si>
    <t xml:space="preserve">Category</t>
  </si>
  <si>
    <t xml:space="preserve">Deadline</t>
  </si>
  <si>
    <t xml:space="preserve">Days from snapshot</t>
  </si>
  <si>
    <t xml:space="preserve">Deadline detail</t>
  </si>
  <si>
    <t xml:space="preserve">Public quantity / scope</t>
  </si>
  <si>
    <t xml:space="preserve">Quantity detail status</t>
  </si>
  <si>
    <t xml:space="preserve">Official source</t>
  </si>
  <si>
    <t xml:space="preserve">Notes</t>
  </si>
  <si>
    <t xml:space="preserve">GY-026</t>
  </si>
  <si>
    <t xml:space="preserve">Ministry of Health</t>
  </si>
  <si>
    <t xml:space="preserve">Design and Supervision of the National Public Health Reference Laboratory Building (World Bank Guyana One Health Project; consulting firms EOI)</t>
  </si>
  <si>
    <t xml:space="preserve">GY-HSDU-MOH-561852-CS-CQS</t>
  </si>
  <si>
    <t xml:space="preserve">Consulting</t>
  </si>
  <si>
    <t xml:space="preserve">15 Sep 2026 (extended)</t>
  </si>
  <si>
    <t xml:space="preserve">Deliverables in EOI document.</t>
  </si>
  <si>
    <t xml:space="preserve">Public scope stated; exact quantity not listed</t>
  </si>
  <si>
    <t xml:space="preserve">Official DPI notice</t>
  </si>
  <si>
    <t xml:space="preserve">Consulting services only, not goods</t>
  </si>
  <si>
    <t xml:space="preserve">GY-046</t>
  </si>
  <si>
    <t xml:space="preserve">Private</t>
  </si>
  <si>
    <t xml:space="preserve">Tenaris Guyana</t>
  </si>
  <si>
    <t xml:space="preserve">Manpower and Crewing Services (Master Services Agreement)</t>
  </si>
  <si>
    <t xml:space="preserve">RFQ</t>
  </si>
  <si>
    <t xml:space="preserve">Services</t>
  </si>
  <si>
    <t xml:space="preserve">18 Sep 2026</t>
  </si>
  <si>
    <t xml:space="preserve">Master Services Agreement for on-demand manpower/crewing.</t>
  </si>
  <si>
    <t xml:space="preserve">Local Content Register</t>
  </si>
  <si>
    <t xml:space="preserve">Local Content Certificate generally required</t>
  </si>
  <si>
    <t xml:space="preserve">GY-025</t>
  </si>
  <si>
    <t xml:space="preserve">Ministry of Housing / CHPA</t>
  </si>
  <si>
    <t xml:space="preserve">Invitation for Expressions of Interest: Construction of 400 Square Feet Houses under the Social Housing Programme (low-income flat units: 1 bedroom, toilet &amp; bath, ceiling, tiles, basic kitchen cupboard; all regions)</t>
  </si>
  <si>
    <t xml:space="preserve">(EOI)</t>
  </si>
  <si>
    <t xml:space="preserve">Works</t>
  </si>
  <si>
    <t xml:space="preserve">21 Sep 2026, 15:00</t>
  </si>
  <si>
    <t xml:space="preserve">EOI to Chairman, CHPA Board, Plantation Houston, Mandela to Eccles Highway, EBD.</t>
  </si>
  <si>
    <t xml:space="preserve">Official CHPA notice</t>
  </si>
  <si>
    <t xml:space="preserve">GY-045</t>
  </si>
  <si>
    <t xml:space="preserve">G-Boats Inc.</t>
  </si>
  <si>
    <t xml:space="preserve">Week 33 Tender - operating supplies incl. PPE</t>
  </si>
  <si>
    <t xml:space="preserve">Goods</t>
  </si>
  <si>
    <t xml:space="preserve">21 Sep 2026</t>
  </si>
  <si>
    <t xml:space="preserve">Operating supplies: general supplies, PPE &amp; safety (item list by request: eco.g-boats.bids@chouest.com).</t>
  </si>
  <si>
    <t xml:space="preserve">GY-007</t>
  </si>
  <si>
    <t xml:space="preserve">Guyana Water Inc. (Ministry of Public Utilities and Aviation)</t>
  </si>
  <si>
    <t xml:space="preserve">Rehabilitation works for the Bartica 5 Miles Raw Water Intake Structure, Bartica, Region 7</t>
  </si>
  <si>
    <t xml:space="preserve">GWI-W209-2026</t>
  </si>
  <si>
    <t xml:space="preserve">22 Sep 2026, 09:00</t>
  </si>
  <si>
    <t xml:space="preserve">Scope not stated publicly; GoG budget G$38M. Work items in paid bid documents (G$5,000, GWI Cashier, Shelter Belt).</t>
  </si>
  <si>
    <t xml:space="preserve">Full detail in tender documents</t>
  </si>
  <si>
    <t xml:space="preserve">Official eProcure notice</t>
  </si>
  <si>
    <t xml:space="preserve">GY-044</t>
  </si>
  <si>
    <t xml:space="preserve">Guyana Deepwater Operations (SBM Offshore)</t>
  </si>
  <si>
    <t xml:space="preserve">RFI: IT Hardware Equipment Disposal</t>
  </si>
  <si>
    <t xml:space="preserve">GDO-SCM-119</t>
  </si>
  <si>
    <t xml:space="preserve">23 Sep 2026</t>
  </si>
  <si>
    <t xml:space="preserve">IT hardware equipment disposal.</t>
  </si>
  <si>
    <t xml:space="preserve">GY-042</t>
  </si>
  <si>
    <t xml:space="preserve">Halliburton Guyana</t>
  </si>
  <si>
    <t xml:space="preserve">Compressor Maintenance Services (parts + onsite/offsite maintenance, repairs, overhaul)</t>
  </si>
  <si>
    <t xml:space="preserve">EOI</t>
  </si>
  <si>
    <t xml:space="preserve">25 Sep 2026</t>
  </si>
  <si>
    <t xml:space="preserve">Compressor parts + onsite/offsite maintenance, repairs, overhaul.</t>
  </si>
  <si>
    <t xml:space="preserve">GY-043</t>
  </si>
  <si>
    <t xml:space="preserve">Crane Maintenance Services</t>
  </si>
  <si>
    <t xml:space="preserve">Crane maintenance (details in notice documents).</t>
  </si>
  <si>
    <t xml:space="preserve">GY-041</t>
  </si>
  <si>
    <t xml:space="preserve">Oceaneering Guyana</t>
  </si>
  <si>
    <t xml:space="preserve">Inland Transportation &amp; Logistics Services - pre-qualify local suppliers</t>
  </si>
  <si>
    <t xml:space="preserve">RFI</t>
  </si>
  <si>
    <t xml:space="preserve">26 Sep 2026</t>
  </si>
  <si>
    <t xml:space="preserve">Inland transport and logistics; pre-qualify local suppliers.</t>
  </si>
  <si>
    <t xml:space="preserve">GY-019</t>
  </si>
  <si>
    <t xml:space="preserve">Guyana Power &amp; Light Inc.</t>
  </si>
  <si>
    <t xml:space="preserve">Engineering, Procurement and Construction of L5 69kV Double Circuit Transmission Line on Steel Monopoles (Kingston &amp; Sophia substations interconnection)</t>
  </si>
  <si>
    <t xml:space="preserve">SEMD-002-2026</t>
  </si>
  <si>
    <t xml:space="preserve">29 Sep 2026</t>
  </si>
  <si>
    <t xml:space="preserve">Line length, monopole counts and duration in purchased bid documents (GPL Program Execution Unit, 103 Carmichael Street, Georgetown).</t>
  </si>
  <si>
    <t xml:space="preserve">Official GPL notice</t>
  </si>
  <si>
    <t xml:space="preserve">Listed on gplinc.com only (not on eprocure portal)</t>
  </si>
  <si>
    <t xml:space="preserve">GY-009</t>
  </si>
  <si>
    <t xml:space="preserve">Design, Supply, Installation and Testing of Air Conditioning Units + electrical works + networking cables for GWI Corporate Complex</t>
  </si>
  <si>
    <t xml:space="preserve">GWI-GOG-W214-2026</t>
  </si>
  <si>
    <t xml:space="preserve">Goods/Works</t>
  </si>
  <si>
    <t xml:space="preserve">29 Sep 2026, 09:00</t>
  </si>
  <si>
    <t xml:space="preserve">Unit counts and tonnage in paid bid documents only.</t>
  </si>
  <si>
    <t xml:space="preserve">GY-010</t>
  </si>
  <si>
    <t xml:space="preserve">Drilling of Potable Water Well at Long Creek, Linden Soesdyke Highway, Region 4</t>
  </si>
  <si>
    <t xml:space="preserve">GWI-GOG-W215-2026</t>
  </si>
  <si>
    <t xml:space="preserve">1 well; depth/diameter specs in paid bid documents.</t>
  </si>
  <si>
    <t xml:space="preserve">GY-011</t>
  </si>
  <si>
    <t xml:space="preserve">Drilling of Potable Water Well at Lusignan, ECD, Region 4</t>
  </si>
  <si>
    <t xml:space="preserve">GWI-GOG-W216-2026</t>
  </si>
  <si>
    <t xml:space="preserve">1 well; specs in paid bid documents.</t>
  </si>
  <si>
    <t xml:space="preserve">GY-012</t>
  </si>
  <si>
    <t xml:space="preserve">Drilling of Potable Water Well at Shirley Field Ridley Square, Georgetown, Region 4</t>
  </si>
  <si>
    <t xml:space="preserve">GWI-GOG-W217-2026</t>
  </si>
  <si>
    <t xml:space="preserve">GY-008</t>
  </si>
  <si>
    <t xml:space="preserve">Installation of Kettle Filters at Better Hope Water Treatment Plant, ECD, Region 4</t>
  </si>
  <si>
    <t xml:space="preserve">GWI-W213-2026</t>
  </si>
  <si>
    <t xml:space="preserve">Filter count, sizes, capacities in paid bid documents only (G$5,000).</t>
  </si>
  <si>
    <t xml:space="preserve">GY-023</t>
  </si>
  <si>
    <t xml:space="preserve">Ministry of Agriculture</t>
  </si>
  <si>
    <t xml:space="preserve">Development and Finalisation of the National Water Policy and Action Plan (consulting EOI)</t>
  </si>
  <si>
    <t xml:space="preserve">(EOI, ref unknown)</t>
  </si>
  <si>
    <t xml:space="preserve">29 Sep 2026, 09:00 (portal-listed; independently unverified)</t>
  </si>
  <si>
    <t xml:space="preserve">Deliverables/duration in EOI document (Procurement Dept, Regent &amp; Shiv Chanderpaul Drive, Georgetown).</t>
  </si>
  <si>
    <t xml:space="preserve">GY-024</t>
  </si>
  <si>
    <t xml:space="preserve">The Guyana Oil Company Limited (GUYOIL)</t>
  </si>
  <si>
    <t xml:space="preserve">Supply of Petroleum Products (Gasoline, Gasoil, Ultra Low Sulphur Diesel, Jet A-1; FOB and CIF; CIF delivered to one independent port in Georgetown; FOB uplifted from supplier's identified storage)</t>
  </si>
  <si>
    <t xml:space="preserve">GUYOIL RFP No. 01/26</t>
  </si>
  <si>
    <t xml:space="preserve">Volumes/specs in RFP documents (GUYOIL Inventory &amp; Procurement Dept). Submissions: tenderbox@guyoil.gy or Tender Box No. 15. Proposals opened 14:00 hrs 29 Sep 2026 at Guyoil Office Complex, Providence, EBD.</t>
  </si>
  <si>
    <t xml:space="preserve">State oil company annual fuel supply RFP</t>
  </si>
  <si>
    <t xml:space="preserve">GY-021</t>
  </si>
  <si>
    <t xml:space="preserve">Supply and Delivery of Transmission &amp; Distribution Materials - Good Hope</t>
  </si>
  <si>
    <t xml:space="preserve">GPL-PD-028-2026</t>
  </si>
  <si>
    <t xml:space="preserve">1 Oct 2026, 09:00 (authoritative per GPL; eprocure row shows 6 Oct)</t>
  </si>
  <si>
    <t xml:space="preserve">Bill of quantities (conductors, poles, hardware, meters) in paid bid documents only.</t>
  </si>
  <si>
    <t xml:space="preserve">NIS/GRA compliance applies to local companies only</t>
  </si>
  <si>
    <t xml:space="preserve">GY-013</t>
  </si>
  <si>
    <t xml:space="preserve">Hinterland Electrification Company Inc. (Ministry of Public Utilities and Aviation)</t>
  </si>
  <si>
    <t xml:space="preserve">Supply and Delivery of Pole Mounted Transformers for Lethem Power Co. Inc.</t>
  </si>
  <si>
    <t xml:space="preserve">LMPC/G/11/2026 (Invitation No. 11)</t>
  </si>
  <si>
    <t xml:space="preserve">1 Oct 2026, 09:00</t>
  </si>
  <si>
    <t xml:space="preserve">Transformer count, kVA ratings, voltage specs in bid document (downloadable at electricity.gov.gy). 8-week supply period; 2% bid security; bids valid 120 days.</t>
  </si>
  <si>
    <t xml:space="preserve">GY-001</t>
  </si>
  <si>
    <t xml:space="preserve">Ministry of Public Works</t>
  </si>
  <si>
    <t xml:space="preserve">Rehabilitation and Upgrade of Mahaica Bridge to Abary Bridge Road Corridor (World Bank IDA financed)</t>
  </si>
  <si>
    <t xml:space="preserve">RFB P501759-CW-1</t>
  </si>
  <si>
    <t xml:space="preserve">2 Oct 2026, 09:00</t>
  </si>
  <si>
    <t xml:space="preserve">27.1 km dual-carriageway asphalt road (Km 0+00 to 27+10); 10 prestressed precast concrete bridges (10-15 m spans); 750 m precast box culverts; 20,120 m in-situ concrete drains; 17,040 m earthen drains; utility relocation; road furniture. 36-month contract. Bid security US$2,000,000.</t>
  </si>
  <si>
    <t xml:space="preserve">Public scope or partial quantity stated</t>
  </si>
  <si>
    <t xml:space="preserve">International competitive procurement; open to foreign bidders</t>
  </si>
  <si>
    <t xml:space="preserve">GY-040</t>
  </si>
  <si>
    <t xml:space="preserve">RFID Tags Supplier (printer supplier for RFID tags, material traceability project)</t>
  </si>
  <si>
    <t xml:space="preserve">3 Oct 2026</t>
  </si>
  <si>
    <t xml:space="preserve">Printer supplier for RFID tags, material traceability project.</t>
  </si>
  <si>
    <t xml:space="preserve">GY-038</t>
  </si>
  <si>
    <t xml:space="preserve">CNOOC Petroleum Guyana</t>
  </si>
  <si>
    <t xml:space="preserve">Janitorial Services - information gathering</t>
  </si>
  <si>
    <t xml:space="preserve">5 Oct 2026</t>
  </si>
  <si>
    <t xml:space="preserve">Janitorial services; info gathering from qualified providers.</t>
  </si>
  <si>
    <t xml:space="preserve">GY-039</t>
  </si>
  <si>
    <t xml:space="preserve">Champion X</t>
  </si>
  <si>
    <t xml:space="preserve">ISO Tank Inspections (periodic inspections/testing of ISO tanks in chemical logistics)</t>
  </si>
  <si>
    <t xml:space="preserve">Periodic inspections/testing of ISO tanks in chemical logistics.</t>
  </si>
  <si>
    <t xml:space="preserve">GY-020</t>
  </si>
  <si>
    <t xml:space="preserve">Supply and Delivery of Insulators</t>
  </si>
  <si>
    <t xml:space="preserve">GPL-PD-026-2026</t>
  </si>
  <si>
    <t xml:space="preserve">6 Oct 2026, 09:00</t>
  </si>
  <si>
    <t xml:space="preserve">Quantities by insulator type and voltage rating in paid bid documents (G$5,000; from 27 Aug 2026).</t>
  </si>
  <si>
    <t xml:space="preserve">NIS/GRA compliance applies to local companies only - foreign firms exempt</t>
  </si>
  <si>
    <t xml:space="preserve">GY-016</t>
  </si>
  <si>
    <t xml:space="preserve">Supply and Installation of Transmission Mains at Adventure, Region 6 (Lots 1-4) - CDB WSIP</t>
  </si>
  <si>
    <t xml:space="preserve">GWI-CDB-W104-2026</t>
  </si>
  <si>
    <t xml:space="preserve">Works/Goods</t>
  </si>
  <si>
    <t xml:space="preserve">Approx 20 km of 400 mm PVC pipes, Tain to Village 47, Corentyne. Lots: 1 Tain-Alness; 2 Alness-Kilmarnock; 3 Kilmarnock-Kiltarin; 4 Kiltarin-Village 47.</t>
  </si>
  <si>
    <t xml:space="preserve">ICB; CDB member-country firms</t>
  </si>
  <si>
    <t xml:space="preserve">GY-015</t>
  </si>
  <si>
    <t xml:space="preserve">Supply and Installation of Transmission Mains at Bath, West Coast Berbice, Region 5 (Lots 1-4) - CDB WSIP</t>
  </si>
  <si>
    <t xml:space="preserve">GWI-CDB-W100-2026</t>
  </si>
  <si>
    <t xml:space="preserve">Approx 20.1 km of 300 mm PVC pipes, Jacoba to Experiment Housing Scheme. Lots: 1 Jacoba-Union; 2 Union-St. John; 3 St. John-Bath; 4 Bath-No. 7 Village &amp; Experiment HS.</t>
  </si>
  <si>
    <t xml:space="preserve">Official GWI notice</t>
  </si>
  <si>
    <t xml:space="preserve">GY-014</t>
  </si>
  <si>
    <t xml:space="preserve">Supply and Installation of Transmission Mains at Leguan, Region 3 (single lot) - CDB Water Supply Improvement Project</t>
  </si>
  <si>
    <t xml:space="preserve">GWI-CDB-W101-2026</t>
  </si>
  <si>
    <t xml:space="preserve">Approx 4.4 km of 150 mm PVC pipes on Leguan Island.</t>
  </si>
  <si>
    <t xml:space="preserve">ICB; CDB member-country firms/JVs; turnover, cash-flow and experience thresholds</t>
  </si>
  <si>
    <t xml:space="preserve">GY-017</t>
  </si>
  <si>
    <t xml:space="preserve">Supply and Installation of Transmission Mains at Wakenaam, Region 3 (single lot) - CDB WSIP</t>
  </si>
  <si>
    <t xml:space="preserve">GWI-CDB-W102-2026</t>
  </si>
  <si>
    <t xml:space="preserve">Approx 6.5 km of 200 mm PVC pipes on Wakenaam Island.</t>
  </si>
  <si>
    <t xml:space="preserve">GY-018</t>
  </si>
  <si>
    <t xml:space="preserve">Supply and Installation of Transmission Mains at Walton Hall to Charity, Region 2 (Lots 1-4) - CDB WSIP</t>
  </si>
  <si>
    <t xml:space="preserve">GWI-CDB-W103-2026</t>
  </si>
  <si>
    <t xml:space="preserve">Approx 17.1 km of 300 mm PVC pipes, Walton Hall to Charity, Essequibo. Lots: 1 Walton Hall-Bounty Hall; 2 Bounty Hall-Maria's Delight; 3 Maria's Delight-Berks; 4 Berks-Charity.</t>
  </si>
  <si>
    <t xml:space="preserve">GY-006</t>
  </si>
  <si>
    <t xml:space="preserve">Ministry of Housing / Central Housing &amp; Planning Authority (CHPA)</t>
  </si>
  <si>
    <t xml:space="preserve">Drilling of Potable Water Well - Region 10</t>
  </si>
  <si>
    <t xml:space="preserve">Region 10 - 1 lot</t>
  </si>
  <si>
    <t xml:space="preserve">Amelia's Ward Phase 4. Well counts and depths are in the paid bid documents (G$10,000, CHPA Cashier, Plantation Houston). 10-month construction period. One lot per bidder per project area.</t>
  </si>
  <si>
    <t xml:space="preserve">Open to all eligible bidders</t>
  </si>
  <si>
    <t xml:space="preserve">GY-003</t>
  </si>
  <si>
    <t xml:space="preserve">Drilling of Potable Water Wells - Region 3, Lots 1-3</t>
  </si>
  <si>
    <t xml:space="preserve">Regions 3 - Lots 1-3</t>
  </si>
  <si>
    <t xml:space="preserve">Meten-Meer-Zorg Phase 2, Wales Phases 1 and 2, and Stewartville. Well counts and depths are in the paid bid documents (G$10,000, CHPA Cashier, Plantation Houston). 10-month construction period. One lot per bidder per project area.</t>
  </si>
  <si>
    <t xml:space="preserve">GY-004</t>
  </si>
  <si>
    <t xml:space="preserve">Drilling of Potable Water Wells - Region 4, Lots 1-6</t>
  </si>
  <si>
    <t xml:space="preserve">Region 4 - Lots 1-6</t>
  </si>
  <si>
    <t xml:space="preserve">Cummings Lodge Industrial Zone, Lusignan, Non Pareil Phase 1, Success Phase 2, Diamond, and Ogle Highway. Well counts and depths are in the paid bid documents (G$10,000, CHPA Cashier, Plantation Houston). 10-month construction period. One lot per bidder per project area.</t>
  </si>
  <si>
    <t xml:space="preserve">GY-005</t>
  </si>
  <si>
    <t xml:space="preserve">Drilling of Potable Water Wells - Region 6, Lots 1-4</t>
  </si>
  <si>
    <t xml:space="preserve">Region 6 - Lots 1-4</t>
  </si>
  <si>
    <t xml:space="preserve">Palmyra, No. 75 Village, Moleson Creek Phase, and Providence. Well counts and depths are in the paid bid documents (G$10,000, CHPA Cashier, Plantation Houston). 10-month construction period. One lot per bidder per project area.</t>
  </si>
  <si>
    <t xml:space="preserve">GY-037</t>
  </si>
  <si>
    <t xml:space="preserve">Guyana Shore Base Inc. (GYSBI)</t>
  </si>
  <si>
    <t xml:space="preserve">Perimeter Fencing Replacement</t>
  </si>
  <si>
    <t xml:space="preserve">RFP</t>
  </si>
  <si>
    <t xml:space="preserve">7 Oct 2026</t>
  </si>
  <si>
    <t xml:space="preserve">Perimeter fencing replacement, Houston EBD.</t>
  </si>
  <si>
    <t xml:space="preserve">GY-022</t>
  </si>
  <si>
    <t xml:space="preserve">Electrification Project - Linden Soesdyke Highway R2, Lots 1-2</t>
  </si>
  <si>
    <t xml:space="preserve">GPL-PD-030-2026</t>
  </si>
  <si>
    <t xml:space="preserve">8 Oct 2026, 09:00</t>
  </si>
  <si>
    <t xml:space="preserve">Per-lot scope (line lengths, pole counts, transformers, service connections) in paid bid documents only (from 14 Sep 2026).</t>
  </si>
  <si>
    <t xml:space="preserve">GY-035</t>
  </si>
  <si>
    <t xml:space="preserve">Aluminum Welding Services - supplier identification</t>
  </si>
  <si>
    <t xml:space="preserve">8 Oct 2026</t>
  </si>
  <si>
    <t xml:space="preserve">Aluminum welding for current/future projects; supplier identification.</t>
  </si>
  <si>
    <t xml:space="preserve">GY-032</t>
  </si>
  <si>
    <t xml:space="preserve">Cleaning Supplies (commercial and industrial) - supplier identification</t>
  </si>
  <si>
    <t xml:space="preserve">Supply/availability of cleaning supplies; supplier identification.</t>
  </si>
  <si>
    <t xml:space="preserve">GY-036</t>
  </si>
  <si>
    <t xml:space="preserve">Hose and Hose Assemblies - supplier identification</t>
  </si>
  <si>
    <t xml:space="preserve">Industrial hoses and hose assemblies; supplier identification.</t>
  </si>
  <si>
    <t xml:space="preserve">GY-033</t>
  </si>
  <si>
    <t xml:space="preserve">Office Supplies and Batteries - supplier identification</t>
  </si>
  <si>
    <t xml:space="preserve">Supplier identification.</t>
  </si>
  <si>
    <t xml:space="preserve">GY-034</t>
  </si>
  <si>
    <t xml:space="preserve">Paints, Primers &amp; Finishes - supplier identification</t>
  </si>
  <si>
    <t xml:space="preserve">Industrial/commercial paints, primers, coatings; supplier identification.</t>
  </si>
  <si>
    <t xml:space="preserve">GY-031</t>
  </si>
  <si>
    <t xml:space="preserve">Replacement of 15-Ton Mooring Bollards</t>
  </si>
  <si>
    <t xml:space="preserve">9 Oct 2026</t>
  </si>
  <si>
    <t xml:space="preserve">Removal and replacement of 15-ton mooring bollards, Houston EBD shore base.</t>
  </si>
  <si>
    <t xml:space="preserve">GY-030</t>
  </si>
  <si>
    <t xml:space="preserve">RFI: ROV Inspection of Water Ballast Tanks (FPSO facilities)</t>
  </si>
  <si>
    <t xml:space="preserve">GDO-SCM-120</t>
  </si>
  <si>
    <t xml:space="preserve">10 Oct 2026</t>
  </si>
  <si>
    <t xml:space="preserve">ROV-based water ballast tank inspection onboard FPSO facilities.</t>
  </si>
  <si>
    <t xml:space="preserve">GY-029</t>
  </si>
  <si>
    <t xml:space="preserve">Replacement of Water Filter Media</t>
  </si>
  <si>
    <t xml:space="preserve">Goods/Services</t>
  </si>
  <si>
    <t xml:space="preserve">12 Oct 2026</t>
  </si>
  <si>
    <t xml:space="preserve">Replacement of water filter media in the two redundant containerized water treatment plant filters. Quantities not publicly stated.</t>
  </si>
  <si>
    <t xml:space="preserve">GY-002</t>
  </si>
  <si>
    <t xml:space="preserve">Ministry of Public Service, Government Efficiency and Implementation</t>
  </si>
  <si>
    <t xml:space="preserve">Provision of Security Services at six (6) locations</t>
  </si>
  <si>
    <t xml:space="preserve">(not stated)</t>
  </si>
  <si>
    <t xml:space="preserve">13 Oct 2026, 09:00</t>
  </si>
  <si>
    <t xml:space="preserve">Six locations (not named); guard counts/posts/shifts and contract duration not stated publicly - in paid bid documents (G$3,000, 164 Waterloo Street, Georgetown). Bid security 1% of contract sum; bids valid 120 days.</t>
  </si>
  <si>
    <t xml:space="preserve">NIS and GRA compliance certificates required</t>
  </si>
  <si>
    <t xml:space="preserve">GY-027</t>
  </si>
  <si>
    <t xml:space="preserve">Ministry of Home Affairs</t>
  </si>
  <si>
    <t xml:space="preserve">Infrastructural Works to Suddie Police Station - Guyana Police Force, Region No. 2</t>
  </si>
  <si>
    <t xml:space="preserve">(not published)</t>
  </si>
  <si>
    <t xml:space="preserve">Deadline not verified (DPI post 9 Sep 2026)</t>
  </si>
  <si>
    <t xml:space="preserve">Scope not publicly stated; full scope in bid document. Advert is a scanned image; deadline could not be verified.</t>
  </si>
  <si>
    <t xml:space="preserve">NEW - verify deadline on advert image before acting</t>
  </si>
  <si>
    <t xml:space="preserve">GY-028</t>
  </si>
  <si>
    <t xml:space="preserve">Procurement of Office Equipment &amp; Furniture, Lots 1-2 - Guyana Police Force</t>
  </si>
  <si>
    <t xml:space="preserve">Items per lot not publicly stated. Bid documents from Finance Dept, Ministry of Home Affairs, Lot 6 Brickdam, Georgetown (G$3,000 fee).</t>
  </si>
  <si>
    <t xml:space="preserve">GY-047</t>
  </si>
  <si>
    <t xml:space="preserve">UNDP Guyana (multilateral)</t>
  </si>
  <si>
    <t xml:space="preserve">Provision of Unarmed Security Services for the United Nations Offices (Long-Term Agreement)</t>
  </si>
  <si>
    <t xml:space="preserve">UNDP-GUY-00034</t>
  </si>
  <si>
    <t xml:space="preserve">Deadline not verified (bids via UNDP Quantum portal)</t>
  </si>
  <si>
    <t xml:space="preserve">Unarmed private security guard services: access control, CCTV/alarm monitoring, perimeter security, patrolling, fire-drill assistance. Full TOR on notice page.</t>
  </si>
  <si>
    <t xml:space="preserve">UNDP procurement notice</t>
  </si>
  <si>
    <t xml:space="preserve">Verify deadline on notice page before acting</t>
  </si>
  <si>
    <t xml:space="preserve">Open opportunities identified on 13 September 2026. Total: 28</t>
  </si>
  <si>
    <t xml:space="preserve">Private &amp; Multilateral</t>
  </si>
  <si>
    <t xml:space="preserve">Open opportunities identified on 13 September 2026. Total: 19</t>
  </si>
  <si>
    <t xml:space="preserve">Additional Guyana Opportunities to Verify</t>
  </si>
  <si>
    <t xml:space="preserve">These are leads, not counted in the 47 open items. Confirm the notice and closing date before acting.</t>
  </si>
  <si>
    <t xml:space="preserve">Status</t>
  </si>
  <si>
    <t xml:space="preserve">Entity</t>
  </si>
  <si>
    <t xml:space="preserve">Why it is not counted yet</t>
  </si>
  <si>
    <t xml:space="preserve">Source</t>
  </si>
  <si>
    <t xml:space="preserve">Government lead</t>
  </si>
  <si>
    <t xml:space="preserve">Hydrometeorological Service - Instructions to Consultants</t>
  </si>
  <si>
    <t xml:space="preserve">Ministry of Agriculture / Hydrometeorological Service</t>
  </si>
  <si>
    <t xml:space="preserve">Details and deadline require reading the scanned advert image.</t>
  </si>
  <si>
    <t xml:space="preserve">Request for Individual Consulting Services - posting 1</t>
  </si>
  <si>
    <t xml:space="preserve">Ministry of Human Services &amp; Social Security</t>
  </si>
  <si>
    <t xml:space="preserve">Title was indexed; scope and deadline were not machine-readable.</t>
  </si>
  <si>
    <t xml:space="preserve">Request for Individual Consulting Services - posting 2</t>
  </si>
  <si>
    <t xml:space="preserve">Invitation for Bids posted 4 September 2026</t>
  </si>
  <si>
    <t xml:space="preserve">Guyana Water Inc.</t>
  </si>
  <si>
    <t xml:space="preserve">Unknown</t>
  </si>
  <si>
    <t xml:space="preserve">Could duplicate an existing GWI order or be a new order. Read the scanned advert before counting it.</t>
  </si>
  <si>
    <t xml:space="preserve">Request for Quotation posted 4 September 2026</t>
  </si>
  <si>
    <t xml:space="preserve">Integrity Commission</t>
  </si>
  <si>
    <t xml:space="preserve">Small-value RFQ. Details and deadline require reading the scanned advert.</t>
  </si>
  <si>
    <t xml:space="preserve">Possible duplicate</t>
  </si>
  <si>
    <t xml:space="preserve">Invitation for Bids posted 9 September 2026</t>
  </si>
  <si>
    <t xml:space="preserve">Ministry of Public Service</t>
  </si>
  <si>
    <t xml:space="preserve">Likely the six-location security-services order already in the open list. Verify before treating as separate.</t>
  </si>
  <si>
    <t xml:space="preserve">Government / multilateral lead</t>
  </si>
  <si>
    <t xml:space="preserve">Health Care Network Strengthening in Guyana - Specific Procurement Notice IDB-5706OCGY-P00052</t>
  </si>
  <si>
    <t xml:space="preserve">Government of Guyana / IDB</t>
  </si>
  <si>
    <t xml:space="preserve">Published around 3 September 2026; procurement details and current deadline were not verified.</t>
  </si>
  <si>
    <t xml:space="preserve">IDB project notice</t>
  </si>
  <si>
    <t xml:space="preserve">Supply of Tools and Equipment for Six Practical Instruction Centres, Lots 1-10</t>
  </si>
  <si>
    <t xml:space="preserve">Ministry of Education / Caribbean Development Bank</t>
  </si>
  <si>
    <t xml:space="preserve">Deadline was extended, but current closing date was not verified.</t>
  </si>
  <si>
    <t xml:space="preserve">CDB procurement notice</t>
  </si>
  <si>
    <t xml:space="preserve">Guide and Source Notes</t>
  </si>
  <si>
    <t xml:space="preserve">What is included, what is excluded, and where the data came from</t>
  </si>
  <si>
    <t xml:space="preserve">Included</t>
  </si>
  <si>
    <t xml:space="preserve">• 28 government opportunities, including four separately published CHPA regional well notices and two Ministry of Home Affairs postings whose closing dates need verification.</t>
  </si>
  <si>
    <t xml:space="preserve">• 18 private-sector oil and gas opportunities listed through Guyana’s Local Content Register.</t>
  </si>
  <si>
    <t xml:space="preserve">• 1 multilateral procurement notice from UNDP Guyana.</t>
  </si>
  <si>
    <t xml:space="preserve">Not counted</t>
  </si>
  <si>
    <t xml:space="preserve">• Retracted, expired, awarded, or no-longer-verifiable opportunities.</t>
  </si>
  <si>
    <t xml:space="preserve">• Routine Bank of Guyana Treasury Bill tenders, because they are financial-market issues rather than fulfillable procurement orders.</t>
  </si>
  <si>
    <t xml:space="preserve">• Public postings with unreadable details or an unverified current deadline. Those are listed separately on Verify First.</t>
  </si>
  <si>
    <t xml:space="preserve">• Private companies with no public competitive tender board. Many buy directly or by invitation.</t>
  </si>
  <si>
    <t xml:space="preserve">Primary sources</t>
  </si>
  <si>
    <t xml:space="preserve">• Guyana National Procurement and Tender Administration Board eProcure portal.</t>
  </si>
  <si>
    <t xml:space="preserve">• Issuing agencies: GPL, GWI, CHPA, GUYOIL, Ministry of Home Affairs, Ministry of Health, Ministry of Agriculture, Ministry of Public Works, and Ministry of Public Service.</t>
  </si>
  <si>
    <t xml:space="preserve">• Guyana Local Content Register supplier opportunities for private oil and gas procurement.</t>
  </si>
  <si>
    <t xml:space="preserve">• UNDP procurement notices for the multilateral item.</t>
  </si>
  <si>
    <t xml:space="preserve">Buyer requirements to check</t>
  </si>
  <si>
    <t xml:space="preserve">• Bidder registration and document-purchase requirements for government tenders.</t>
  </si>
  <si>
    <t xml:space="preserve">• Bid security, local tax and social-security certificates where applicable, and any foreign-bidder eligibility limits.</t>
  </si>
  <si>
    <t xml:space="preserve">• Guyana Local Content Certificate or proof of application for private oil and gas opportunities.</t>
  </si>
  <si>
    <t xml:space="preserve">• Exact technical specifications, delivery terms, volumes, and bills of quantities in the full solicitation document.</t>
  </si>
</sst>
</file>

<file path=xl/styles.xml><?xml version="1.0" encoding="utf-8"?>
<styleSheet xmlns="http://schemas.openxmlformats.org/spreadsheetml/2006/main">
  <numFmts count="4">
    <numFmt numFmtId="164" formatCode="General"/>
    <numFmt numFmtId="165" formatCode="dd\ mmm\ yyyy"/>
    <numFmt numFmtId="166" formatCode="General"/>
    <numFmt numFmtId="167" formatCode="0"/>
  </numFmts>
  <fonts count="18">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24313B"/>
      <name val="Arial"/>
      <family val="0"/>
      <charset val="1"/>
    </font>
    <font>
      <b val="true"/>
      <sz val="11"/>
      <color rgb="FF24313B"/>
      <name val="Arial"/>
      <family val="0"/>
      <charset val="1"/>
    </font>
    <font>
      <b val="true"/>
      <sz val="11"/>
      <color rgb="FF245B8A"/>
      <name val="Arial"/>
      <family val="0"/>
      <charset val="1"/>
    </font>
    <font>
      <b val="true"/>
      <sz val="9"/>
      <color rgb="FF24313B"/>
      <name val="Arial"/>
      <family val="0"/>
      <charset val="1"/>
    </font>
    <font>
      <b val="true"/>
      <sz val="18"/>
      <color rgb="FF16324F"/>
      <name val="Arial"/>
      <family val="0"/>
      <charset val="1"/>
    </font>
    <font>
      <b val="true"/>
      <sz val="12"/>
      <color rgb="FF16324F"/>
      <name val="Arial"/>
      <family val="0"/>
      <charset val="1"/>
    </font>
    <font>
      <sz val="10"/>
      <color rgb="FF24313B"/>
      <name val="Arial"/>
      <family val="0"/>
      <charset val="1"/>
    </font>
    <font>
      <b val="true"/>
      <sz val="11"/>
      <color rgb="FFB42318"/>
      <name val="Arial"/>
      <family val="0"/>
      <charset val="1"/>
    </font>
    <font>
      <b val="true"/>
      <sz val="10"/>
      <color rgb="FFFFFFFF"/>
      <name val="Arial"/>
      <family val="0"/>
      <charset val="1"/>
    </font>
    <font>
      <sz val="9"/>
      <color rgb="FF24313B"/>
      <name val="Arial"/>
      <family val="0"/>
      <charset val="1"/>
    </font>
    <font>
      <sz val="12"/>
      <color theme="10"/>
      <name val="Calibri"/>
      <family val="2"/>
      <charset val="1"/>
    </font>
    <font>
      <sz val="10"/>
      <name val="Arial"/>
      <family val="2"/>
    </font>
    <font>
      <b val="true"/>
      <sz val="11"/>
      <color rgb="FFFFFFFF"/>
      <name val="Arial"/>
      <family val="0"/>
      <charset val="1"/>
    </font>
  </fonts>
  <fills count="11">
    <fill>
      <patternFill patternType="none"/>
    </fill>
    <fill>
      <patternFill patternType="gray125"/>
    </fill>
    <fill>
      <patternFill patternType="solid">
        <fgColor rgb="FF16324F"/>
        <bgColor rgb="FF24313B"/>
      </patternFill>
    </fill>
    <fill>
      <patternFill patternType="solid">
        <fgColor rgb="FFEAF2F8"/>
        <bgColor rgb="FFE8F5F3"/>
      </patternFill>
    </fill>
    <fill>
      <patternFill patternType="solid">
        <fgColor rgb="FFF3F5F7"/>
        <bgColor rgb="FFF8FAFB"/>
      </patternFill>
    </fill>
    <fill>
      <patternFill patternType="solid">
        <fgColor rgb="FFFFF6DA"/>
        <bgColor rgb="FFFCE8E6"/>
      </patternFill>
    </fill>
    <fill>
      <patternFill patternType="solid">
        <fgColor rgb="FFFCE8E6"/>
        <bgColor rgb="FFFFF6DA"/>
      </patternFill>
    </fill>
    <fill>
      <patternFill patternType="solid">
        <fgColor rgb="FF245B8A"/>
        <bgColor rgb="FF1C7C78"/>
      </patternFill>
    </fill>
    <fill>
      <patternFill patternType="solid">
        <fgColor rgb="FFF8FAFB"/>
        <bgColor rgb="FFF3F5F7"/>
      </patternFill>
    </fill>
    <fill>
      <patternFill patternType="solid">
        <fgColor rgb="FFE8F5F3"/>
        <bgColor rgb="FFEAF2F8"/>
      </patternFill>
    </fill>
    <fill>
      <patternFill patternType="solid">
        <fgColor rgb="FF1C7C78"/>
        <bgColor rgb="FF008080"/>
      </patternFill>
    </fill>
  </fills>
  <borders count="4">
    <border diagonalUp="false" diagonalDown="false">
      <left/>
      <right/>
      <top/>
      <bottom/>
      <diagonal/>
    </border>
    <border diagonalUp="false" diagonalDown="false">
      <left style="thin">
        <color rgb="FFD9E0E6"/>
      </left>
      <right style="thin">
        <color rgb="FFD9E0E6"/>
      </right>
      <top style="thin">
        <color rgb="FFD9E0E6"/>
      </top>
      <bottom style="thin">
        <color rgb="FFD9E0E6"/>
      </bottom>
      <diagonal/>
    </border>
    <border diagonalUp="false" diagonalDown="false">
      <left/>
      <right/>
      <top/>
      <bottom style="medium">
        <color rgb="FF16324F"/>
      </bottom>
      <diagonal/>
    </border>
    <border diagonalUp="false" diagonalDown="false">
      <left/>
      <right/>
      <top/>
      <bottom style="thin">
        <color rgb="FFD9E0E6"/>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5" fillId="0" borderId="0" applyFont="true" applyBorder="true" applyAlignment="true" applyProtection="true">
      <alignment horizontal="general" vertical="bottom" textRotation="0" wrapText="false" indent="0" shrinkToFit="false"/>
      <protection locked="true" hidden="false"/>
    </xf>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6" fontId="9" fillId="5" borderId="1" xfId="0" applyFont="true" applyBorder="true" applyAlignment="true" applyProtection="false">
      <alignment horizontal="center" vertical="bottom" textRotation="0" wrapText="false" indent="0" shrinkToFit="false"/>
      <protection locked="true" hidden="false"/>
    </xf>
    <xf numFmtId="166" fontId="9" fillId="3"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true" applyAlignment="true" applyProtection="false">
      <alignment horizontal="general" vertical="center" textRotation="0" wrapText="true" indent="0" shrinkToFit="false"/>
      <protection locked="true" hidden="false"/>
    </xf>
    <xf numFmtId="164" fontId="13" fillId="7" borderId="2" xfId="0" applyFont="true" applyBorder="true" applyAlignment="true" applyProtection="false">
      <alignment horizontal="center" vertical="center" textRotation="0" wrapText="true" indent="0" shrinkToFit="false"/>
      <protection locked="true" hidden="false"/>
    </xf>
    <xf numFmtId="164" fontId="14" fillId="0" borderId="3" xfId="0" applyFont="true" applyBorder="true" applyAlignment="true" applyProtection="false">
      <alignment horizontal="general" vertical="top" textRotation="0" wrapText="false" indent="0" shrinkToFit="false"/>
      <protection locked="true" hidden="false"/>
    </xf>
    <xf numFmtId="164" fontId="14" fillId="3" borderId="3" xfId="0" applyFont="true" applyBorder="true" applyAlignment="true" applyProtection="false">
      <alignment horizontal="general" vertical="top" textRotation="0" wrapText="false" indent="0" shrinkToFit="false"/>
      <protection locked="true" hidden="false"/>
    </xf>
    <xf numFmtId="164" fontId="14" fillId="0" borderId="3" xfId="0" applyFont="true" applyBorder="true" applyAlignment="true" applyProtection="false">
      <alignment horizontal="general" vertical="top" textRotation="0" wrapText="true" indent="0" shrinkToFit="false"/>
      <protection locked="true" hidden="false"/>
    </xf>
    <xf numFmtId="165" fontId="14" fillId="0" borderId="3" xfId="0" applyFont="true" applyBorder="true" applyAlignment="true" applyProtection="false">
      <alignment horizontal="general" vertical="top" textRotation="0" wrapText="false" indent="0" shrinkToFit="false"/>
      <protection locked="true" hidden="false"/>
    </xf>
    <xf numFmtId="167" fontId="14" fillId="0" borderId="3" xfId="0" applyFont="true" applyBorder="true" applyAlignment="true" applyProtection="false">
      <alignment horizontal="general" vertical="top" textRotation="0" wrapText="false" indent="0" shrinkToFit="false"/>
      <protection locked="true" hidden="false"/>
    </xf>
    <xf numFmtId="164" fontId="15" fillId="0" borderId="0" xfId="20" applyFont="true" applyBorder="false" applyAlignment="false" applyProtection="false">
      <alignment horizontal="general" vertical="bottom" textRotation="0" wrapText="false" indent="0" shrinkToFit="false"/>
      <protection locked="true" hidden="false"/>
    </xf>
    <xf numFmtId="164" fontId="14" fillId="8" borderId="3" xfId="0" applyFont="true" applyBorder="true" applyAlignment="true" applyProtection="false">
      <alignment horizontal="general" vertical="top" textRotation="0" wrapText="false" indent="0" shrinkToFit="false"/>
      <protection locked="true" hidden="false"/>
    </xf>
    <xf numFmtId="164" fontId="14" fillId="9" borderId="3" xfId="0" applyFont="true" applyBorder="true" applyAlignment="true" applyProtection="false">
      <alignment horizontal="general" vertical="top" textRotation="0" wrapText="false" indent="0" shrinkToFit="false"/>
      <protection locked="true" hidden="false"/>
    </xf>
    <xf numFmtId="164" fontId="14" fillId="8" borderId="3" xfId="0" applyFont="true" applyBorder="true" applyAlignment="true" applyProtection="false">
      <alignment horizontal="general" vertical="top" textRotation="0" wrapText="true" indent="0" shrinkToFit="false"/>
      <protection locked="true" hidden="false"/>
    </xf>
    <xf numFmtId="165" fontId="14" fillId="8" borderId="3" xfId="0" applyFont="true" applyBorder="true" applyAlignment="true" applyProtection="false">
      <alignment horizontal="general" vertical="top" textRotation="0" wrapText="false" indent="0" shrinkToFit="false"/>
      <protection locked="true" hidden="false"/>
    </xf>
    <xf numFmtId="167" fontId="14" fillId="8" borderId="3" xfId="0" applyFont="true" applyBorder="true" applyAlignment="true" applyProtection="false">
      <alignment horizontal="general" vertical="top" textRotation="0" wrapText="false" indent="0" shrinkToFit="false"/>
      <protection locked="true" hidden="false"/>
    </xf>
    <xf numFmtId="164" fontId="14" fillId="6" borderId="3" xfId="0" applyFont="true" applyBorder="true" applyAlignment="true" applyProtection="false">
      <alignment horizontal="general" vertical="top" textRotation="0" wrapText="false" indent="0" shrinkToFit="false"/>
      <protection locked="true" hidden="false"/>
    </xf>
    <xf numFmtId="164" fontId="14" fillId="5" borderId="3" xfId="0" applyFont="true" applyBorder="true" applyAlignment="true" applyProtection="false">
      <alignment horizontal="general" vertical="top" textRotation="0" wrapText="false" indent="0" shrinkToFit="false"/>
      <protection locked="true" hidden="false"/>
    </xf>
    <xf numFmtId="164" fontId="14" fillId="6" borderId="3" xfId="0" applyFont="true" applyBorder="true" applyAlignment="true" applyProtection="false">
      <alignment horizontal="general" vertical="top" textRotation="0" wrapText="true" indent="0" shrinkToFit="false"/>
      <protection locked="true" hidden="false"/>
    </xf>
    <xf numFmtId="164" fontId="17" fillId="10" borderId="0" xfId="0" applyFont="true" applyBorder="true" applyAlignment="true" applyProtection="fals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2">
    <dxf>
      <fill>
        <patternFill patternType="solid">
          <fgColor rgb="FF245B8A"/>
          <bgColor rgb="FF000000"/>
        </patternFill>
      </fill>
    </dxf>
    <dxf>
      <fill>
        <patternFill patternType="solid">
          <fgColor rgb="FFF8FAFB"/>
          <bgColor rgb="FF000000"/>
        </patternFill>
      </fill>
    </dxf>
    <dxf>
      <fill>
        <patternFill patternType="solid">
          <bgColor rgb="FF000000"/>
        </patternFill>
      </fill>
    </dxf>
    <dxf>
      <fill>
        <patternFill patternType="solid">
          <fgColor rgb="FF24313B"/>
          <bgColor rgb="FF000000"/>
        </patternFill>
      </fill>
    </dxf>
    <dxf>
      <fill>
        <patternFill patternType="solid">
          <fgColor rgb="FFFFFFFF"/>
          <bgColor rgb="FF000000"/>
        </patternFill>
      </fill>
    </dxf>
    <dxf>
      <fill>
        <patternFill patternType="solid">
          <fgColor rgb="FFE8F5F3"/>
          <bgColor rgb="FF000000"/>
        </patternFill>
      </fill>
    </dxf>
    <dxf>
      <fill>
        <patternFill patternType="solid">
          <fgColor rgb="FFEAF2F8"/>
          <bgColor rgb="FF000000"/>
        </patternFill>
      </fill>
    </dxf>
    <dxf>
      <fill>
        <patternFill patternType="solid">
          <fgColor rgb="FFFFF6DA"/>
          <bgColor rgb="FF000000"/>
        </patternFill>
      </fill>
    </dxf>
    <dxf>
      <fill>
        <patternFill patternType="solid">
          <fgColor rgb="FFFCE8E6"/>
          <bgColor rgb="FF000000"/>
        </patternFill>
      </fill>
    </dxf>
    <dxf>
      <fill>
        <patternFill patternType="solid">
          <fgColor rgb="FF0000FF"/>
          <bgColor rgb="FF000000"/>
        </patternFill>
      </fill>
    </dxf>
    <dxf>
      <fill>
        <patternFill>
          <bgColor rgb="FFFCE8E6"/>
        </patternFill>
      </fill>
    </dxf>
    <dxf>
      <fill>
        <patternFill>
          <bgColor rgb="FFFFF6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C7C78"/>
      <rgbColor rgb="FFC0C0C0"/>
      <rgbColor rgb="FF808080"/>
      <rgbColor rgb="FF9999FF"/>
      <rgbColor rgb="FF993366"/>
      <rgbColor rgb="FFFFF6DA"/>
      <rgbColor rgb="FFE8F5F3"/>
      <rgbColor rgb="FF660066"/>
      <rgbColor rgb="FFFF8080"/>
      <rgbColor rgb="FF245B8A"/>
      <rgbColor rgb="FFD9E0E6"/>
      <rgbColor rgb="FF000080"/>
      <rgbColor rgb="FFFF00FF"/>
      <rgbColor rgb="FFFFFF00"/>
      <rgbColor rgb="FF00FFFF"/>
      <rgbColor rgb="FF800080"/>
      <rgbColor rgb="FF800000"/>
      <rgbColor rgb="FF008080"/>
      <rgbColor rgb="FF0000FF"/>
      <rgbColor rgb="FF00CCFF"/>
      <rgbColor rgb="FFEAF2F8"/>
      <rgbColor rgb="FFF3F5F7"/>
      <rgbColor rgb="FFFCE8E6"/>
      <rgbColor rgb="FF99CCFF"/>
      <rgbColor rgb="FFFF99CC"/>
      <rgbColor rgb="FFCC99FF"/>
      <rgbColor rgb="FFF8FAFB"/>
      <rgbColor rgb="FF3366FF"/>
      <rgbColor rgb="FF33CCCC"/>
      <rgbColor rgb="FF99CC00"/>
      <rgbColor rgb="FFFFCC00"/>
      <rgbColor rgb="FFD5A021"/>
      <rgbColor rgb="FFFF6600"/>
      <rgbColor rgb="FF666699"/>
      <rgbColor rgb="FF969696"/>
      <rgbColor rgb="FF16324F"/>
      <rgbColor rgb="FF339966"/>
      <rgbColor rgb="FF003300"/>
      <rgbColor rgb="FF333300"/>
      <rgbColor rgb="FFB42318"/>
      <rgbColor rgb="FF993366"/>
      <rgbColor rgb="FF333399"/>
      <rgbColor rgb="FF2431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_AllOpenOrders" displayName="T_AllOpenOrders" ref="A4:M51" headerRowCount="1" totalsRowCount="0" totalsRowShown="0">
  <autoFilter ref="A4:M51"/>
  <tableColumns count="13">
    <tableColumn id="1" name="ID"/>
    <tableColumn id="2" name="Buyer type"/>
    <tableColumn id="3" name="Buyer / procuring entity"/>
    <tableColumn id="4" name="Opportunity"/>
    <tableColumn id="5" name="Reference"/>
    <tableColumn id="6" name="Category"/>
    <tableColumn id="7" name="Deadline"/>
    <tableColumn id="8" name="Days from snapshot"/>
    <tableColumn id="9" name="Deadline detail"/>
    <tableColumn id="10" name="Public quantity / scope"/>
    <tableColumn id="11" name="Quantity detail status"/>
    <tableColumn id="12" name="Official source"/>
    <tableColumn id="13" name="Notes"/>
  </tableColumns>
</table>
</file>

<file path=xl/tables/table2.xml><?xml version="1.0" encoding="utf-8"?>
<table xmlns="http://schemas.openxmlformats.org/spreadsheetml/2006/main" id="2" name="T_Government" displayName="T_Government" ref="A4:M32" headerRowCount="1" totalsRowCount="0" totalsRowShown="0">
  <autoFilter ref="A4:M32"/>
  <tableColumns count="13">
    <tableColumn id="1" name="ID"/>
    <tableColumn id="2" name="Buyer type"/>
    <tableColumn id="3" name="Buyer / procuring entity"/>
    <tableColumn id="4" name="Opportunity"/>
    <tableColumn id="5" name="Reference"/>
    <tableColumn id="6" name="Category"/>
    <tableColumn id="7" name="Deadline"/>
    <tableColumn id="8" name="Days from snapshot"/>
    <tableColumn id="9" name="Deadline detail"/>
    <tableColumn id="10" name="Public quantity / scope"/>
    <tableColumn id="11" name="Quantity detail status"/>
    <tableColumn id="12" name="Official source"/>
    <tableColumn id="13" name="Notes"/>
  </tableColumns>
</table>
</file>

<file path=xl/tables/table3.xml><?xml version="1.0" encoding="utf-8"?>
<table xmlns="http://schemas.openxmlformats.org/spreadsheetml/2006/main" id="3" name="T_PrivateMultilateral" displayName="T_PrivateMultilateral" ref="A4:M23" headerRowCount="1" totalsRowCount="0" totalsRowShown="0">
  <autoFilter ref="A4:M23"/>
  <tableColumns count="13">
    <tableColumn id="1" name="ID"/>
    <tableColumn id="2" name="Buyer type"/>
    <tableColumn id="3" name="Buyer / procuring entity"/>
    <tableColumn id="4" name="Opportunity"/>
    <tableColumn id="5" name="Reference"/>
    <tableColumn id="6" name="Category"/>
    <tableColumn id="7" name="Deadline"/>
    <tableColumn id="8" name="Days from snapshot"/>
    <tableColumn id="9" name="Deadline detail"/>
    <tableColumn id="10" name="Public quantity / scope"/>
    <tableColumn id="11" name="Quantity detail status"/>
    <tableColumn id="12" name="Official source"/>
    <tableColumn id="13" name="Notes"/>
  </tableColumns>
</table>
</file>

<file path=xl/tables/table4.xml><?xml version="1.0" encoding="utf-8"?>
<table xmlns="http://schemas.openxmlformats.org/spreadsheetml/2006/main" id="4" name="T_VerifyFirst" displayName="T_VerifyFirst" ref="A4:G12" headerRowCount="1" totalsRowCount="0" totalsRowShown="0">
  <autoFilter ref="A4:G12"/>
  <tableColumns count="7">
    <tableColumn id="1" name="Status"/>
    <tableColumn id="2" name="Opportunity"/>
    <tableColumn id="3" name="Entity"/>
    <tableColumn id="4" name="Category"/>
    <tableColumn id="5" name="Deadline"/>
    <tableColumn id="6" name="Why it is not counted yet"/>
    <tableColumn id="7" name="Sourc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pi.gov.gy/wp-content/uploads/2026/09/14inx-3col-MoH-Request-for-expression-of-interest-extension.pdf" TargetMode="External"/><Relationship Id="rId3" Type="http://schemas.openxmlformats.org/officeDocument/2006/relationships/hyperlink" Target="https://lcregister.petroleum.gov.gy/opportunities/" TargetMode="External"/><Relationship Id="rId4" Type="http://schemas.openxmlformats.org/officeDocument/2006/relationships/hyperlink" Target="https://chpa.gov.gy/ministry-of-housing-chpa-invitation-for-expressions-of-interest-for-the-construction-of-400-square-feet-houses-under-the-social-housing-programme/" TargetMode="External"/><Relationship Id="rId5" Type="http://schemas.openxmlformats.org/officeDocument/2006/relationships/hyperlink" Target="https://lcregister.petroleum.gov.gy/opportunities/" TargetMode="External"/><Relationship Id="rId6" Type="http://schemas.openxmlformats.org/officeDocument/2006/relationships/hyperlink" Target="https://eprocure.gov.gy/files/Advert-%20Rehabilitation%20works%20for%20the%20Bartica%205%20Miles%20Raw%20Water%20Intake%20Structure,%20Sept_22_26.pdf" TargetMode="External"/><Relationship Id="rId7" Type="http://schemas.openxmlformats.org/officeDocument/2006/relationships/hyperlink" Target="https://lcregister.petroleum.gov.gy/opportunities/" TargetMode="External"/><Relationship Id="rId8" Type="http://schemas.openxmlformats.org/officeDocument/2006/relationships/hyperlink" Target="https://lcregister.petroleum.gov.gy/opportunities/" TargetMode="External"/><Relationship Id="rId9" Type="http://schemas.openxmlformats.org/officeDocument/2006/relationships/hyperlink" Target="https://lcregister.petroleum.gov.gy/opportunities/" TargetMode="External"/><Relationship Id="rId10" Type="http://schemas.openxmlformats.org/officeDocument/2006/relationships/hyperlink" Target="https://lcregister.petroleum.gov.gy/opportunities/" TargetMode="External"/><Relationship Id="rId11" Type="http://schemas.openxmlformats.org/officeDocument/2006/relationships/hyperlink" Target="https://gplinc.com/pl/plc/media/SEMD-002-2026-.pdf" TargetMode="External"/><Relationship Id="rId12" Type="http://schemas.openxmlformats.org/officeDocument/2006/relationships/hyperlink" Target="https://eprocure.gov.gy/files/GWI%20Advertisements.pdf" TargetMode="External"/><Relationship Id="rId13" Type="http://schemas.openxmlformats.org/officeDocument/2006/relationships/hyperlink" Target="https://eprocure.gov.gy/files/GWI%20Advertisements.pdf" TargetMode="External"/><Relationship Id="rId14" Type="http://schemas.openxmlformats.org/officeDocument/2006/relationships/hyperlink" Target="https://eprocure.gov.gy/files/GWI%20Advertisements.pdf" TargetMode="External"/><Relationship Id="rId15" Type="http://schemas.openxmlformats.org/officeDocument/2006/relationships/hyperlink" Target="https://eprocure.gov.gy/files/GWI%20Advertisements.pdf" TargetMode="External"/><Relationship Id="rId16" Type="http://schemas.openxmlformats.org/officeDocument/2006/relationships/hyperlink" Target="https://eprocure.gov.gy/files/GWI%20Advertisements.pdf" TargetMode="External"/><Relationship Id="rId17" Type="http://schemas.openxmlformats.org/officeDocument/2006/relationships/hyperlink" Target="https://eprocure.gov.gy/files/expession%20of%20interest.pdf" TargetMode="External"/><Relationship Id="rId18" Type="http://schemas.openxmlformats.org/officeDocument/2006/relationships/hyperlink" Target="https://dpi.gov.gy/wp-content/uploads/2026/09/6in-x-3col-Guyoil-RFP-Supply-of-Pertroleum.pdf" TargetMode="External"/><Relationship Id="rId19" Type="http://schemas.openxmlformats.org/officeDocument/2006/relationships/hyperlink" Target="https://eprocure.gov.gy/files/GPL-PD-028-2026%20Tender%20Bulletin%20(1).pdf" TargetMode="External"/><Relationship Id="rId20" Type="http://schemas.openxmlformats.org/officeDocument/2006/relationships/hyperlink" Target="https://eprocure.gov.gy/files/HECI%20Adv.pdf" TargetMode="External"/><Relationship Id="rId21" Type="http://schemas.openxmlformats.org/officeDocument/2006/relationships/hyperlink" Target="https://eprocure.gov.gy/files/SPN-%20P501759-CW-1.pdf" TargetMode="External"/><Relationship Id="rId22" Type="http://schemas.openxmlformats.org/officeDocument/2006/relationships/hyperlink" Target="https://lcregister.petroleum.gov.gy/opportunities/" TargetMode="External"/><Relationship Id="rId23" Type="http://schemas.openxmlformats.org/officeDocument/2006/relationships/hyperlink" Target="https://lcregister.petroleum.gov.gy/opportunities/" TargetMode="External"/><Relationship Id="rId24" Type="http://schemas.openxmlformats.org/officeDocument/2006/relationships/hyperlink" Target="https://lcregister.petroleum.gov.gy/opportunities/" TargetMode="External"/><Relationship Id="rId25" Type="http://schemas.openxmlformats.org/officeDocument/2006/relationships/hyperlink" Target="https://eprocure.gov.gy/files/GPL-PD-026-2026%20Tender%20Bulletin%20(1).pdf" TargetMode="External"/><Relationship Id="rId26" Type="http://schemas.openxmlformats.org/officeDocument/2006/relationships/hyperlink" Target="https://eprocure.gov.gy/files/IFB-%20GWI-CDB-W104-2026%20-%20Adventure%20Transmission%20Mains%20Lots%201%20-%204%20Oct.pdf" TargetMode="External"/><Relationship Id="rId27" Type="http://schemas.openxmlformats.org/officeDocument/2006/relationships/hyperlink" Target="https://guyanawaterinc.com/sites/default/files/attachments/IFB%20-%20GWI-CDB-W100-2026%20-%20Bath%20Transmission%20Mains%20Lot%201%20-%204%20Oct_06_2026.pdf" TargetMode="External"/><Relationship Id="rId28" Type="http://schemas.openxmlformats.org/officeDocument/2006/relationships/hyperlink" Target="https://eprocure.gov.gy/files/IFB%20-%20GWI%20CDB-W101-2026%20-%20Leguan%20Transmission%20Mains%20Oct__06_2026.pdf" TargetMode="External"/><Relationship Id="rId29" Type="http://schemas.openxmlformats.org/officeDocument/2006/relationships/hyperlink" Target="https://eprocure.gov.gy/files/IFB-%20GWI-CDB-W102-2026%20-%20Wakenaam%20Transmission%20Mains%20Oct_06_2026.pdf" TargetMode="External"/><Relationship Id="rId30" Type="http://schemas.openxmlformats.org/officeDocument/2006/relationships/hyperlink" Target="https://eprocure.gov.gy/files/IFB-%20GWI-CDB-W103-2026%20-%20Maria&apos;s%20Delight%20Transmission%20Mains%20Lot%201%20-4%20Oct__06_2026.pdf" TargetMode="External"/><Relationship Id="rId31" Type="http://schemas.openxmlformats.org/officeDocument/2006/relationships/hyperlink" Target="https://chpa.gov.gy/invitation-for-bids-ifb-drilling-of-potable-water-wells/" TargetMode="External"/><Relationship Id="rId32" Type="http://schemas.openxmlformats.org/officeDocument/2006/relationships/hyperlink" Target="https://chpa.gov.gy/invitation-for-bids-ifb-drilling-of-potable-water-wells/" TargetMode="External"/><Relationship Id="rId33" Type="http://schemas.openxmlformats.org/officeDocument/2006/relationships/hyperlink" Target="https://chpa.gov.gy/invitation-for-bids-ifb-drilling-of-potable-water-wells/" TargetMode="External"/><Relationship Id="rId34" Type="http://schemas.openxmlformats.org/officeDocument/2006/relationships/hyperlink" Target="https://chpa.gov.gy/invitation-for-bids-ifb-drilling-of-potable-water-wells/" TargetMode="External"/><Relationship Id="rId35" Type="http://schemas.openxmlformats.org/officeDocument/2006/relationships/hyperlink" Target="https://lcregister.petroleum.gov.gy/opportunities/" TargetMode="External"/><Relationship Id="rId36" Type="http://schemas.openxmlformats.org/officeDocument/2006/relationships/hyperlink" Target="https://eprocure.gov.gy/files/GPL-PD-030-2026%20Tender%20Bulletin.pdf" TargetMode="External"/><Relationship Id="rId37" Type="http://schemas.openxmlformats.org/officeDocument/2006/relationships/hyperlink" Target="https://lcregister.petroleum.gov.gy/opportunities/" TargetMode="External"/><Relationship Id="rId38" Type="http://schemas.openxmlformats.org/officeDocument/2006/relationships/hyperlink" Target="https://lcregister.petroleum.gov.gy/opportunities/" TargetMode="External"/><Relationship Id="rId39" Type="http://schemas.openxmlformats.org/officeDocument/2006/relationships/hyperlink" Target="https://lcregister.petroleum.gov.gy/opportunities/" TargetMode="External"/><Relationship Id="rId40" Type="http://schemas.openxmlformats.org/officeDocument/2006/relationships/hyperlink" Target="https://lcregister.petroleum.gov.gy/opportunities/" TargetMode="External"/><Relationship Id="rId41" Type="http://schemas.openxmlformats.org/officeDocument/2006/relationships/hyperlink" Target="https://lcregister.petroleum.gov.gy/opportunities/" TargetMode="External"/><Relationship Id="rId42" Type="http://schemas.openxmlformats.org/officeDocument/2006/relationships/hyperlink" Target="https://lcregister.petroleum.gov.gy/opportunities/" TargetMode="External"/><Relationship Id="rId43" Type="http://schemas.openxmlformats.org/officeDocument/2006/relationships/hyperlink" Target="https://lcregister.petroleum.gov.gy/opportunities/" TargetMode="External"/><Relationship Id="rId44" Type="http://schemas.openxmlformats.org/officeDocument/2006/relationships/hyperlink" Target="https://lcregister.petroleum.gov.gy/supplier-notice/replacement-of-water-filter-media/" TargetMode="External"/><Relationship Id="rId45" Type="http://schemas.openxmlformats.org/officeDocument/2006/relationships/hyperlink" Target="https://eprocure.gov.gy/files/INVITATION%20FOR%20BIDS-Security%20Services%20PSM%20WORD.pdf" TargetMode="External"/><Relationship Id="rId46" Type="http://schemas.openxmlformats.org/officeDocument/2006/relationships/hyperlink" Target="https://dpi.gov.gy/ministry-of-home-affairs-invitation-for-bids-15/" TargetMode="External"/><Relationship Id="rId47" Type="http://schemas.openxmlformats.org/officeDocument/2006/relationships/hyperlink" Target="https://dpi.gov.gy/ministry-of-home-affairs-invitation-for-bids-15/" TargetMode="External"/><Relationship Id="rId48" Type="http://schemas.openxmlformats.org/officeDocument/2006/relationships/hyperlink" Target="https://procurement-notices.undp.org/view_negotiation.cfm?nego_id=13551" TargetMode="External"/><Relationship Id="rId49" Type="http://schemas.openxmlformats.org/officeDocument/2006/relationships/drawing" Target="../drawings/drawing1.xml"/><Relationship Id="rId50" Type="http://schemas.openxmlformats.org/officeDocument/2006/relationships/vmlDrawing" Target="../drawings/vmlDrawing1.vml"/><Relationship Id="rId5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pi.gov.gy/wp-content/uploads/2026/09/14inx-3col-MoH-Request-for-expression-of-interest-extension.pdf" TargetMode="External"/><Relationship Id="rId3" Type="http://schemas.openxmlformats.org/officeDocument/2006/relationships/hyperlink" Target="https://chpa.gov.gy/ministry-of-housing-chpa-invitation-for-expressions-of-interest-for-the-construction-of-400-square-feet-houses-under-the-social-housing-programme/" TargetMode="External"/><Relationship Id="rId4" Type="http://schemas.openxmlformats.org/officeDocument/2006/relationships/hyperlink" Target="https://eprocure.gov.gy/files/Advert-%20Rehabilitation%20works%20for%20the%20Bartica%205%20Miles%20Raw%20Water%20Intake%20Structure,%20Sept_22_26.pdf" TargetMode="External"/><Relationship Id="rId5" Type="http://schemas.openxmlformats.org/officeDocument/2006/relationships/hyperlink" Target="https://gplinc.com/pl/plc/media/SEMD-002-2026-.pdf" TargetMode="External"/><Relationship Id="rId6" Type="http://schemas.openxmlformats.org/officeDocument/2006/relationships/hyperlink" Target="https://eprocure.gov.gy/files/GWI%20Advertisements.pdf" TargetMode="External"/><Relationship Id="rId7" Type="http://schemas.openxmlformats.org/officeDocument/2006/relationships/hyperlink" Target="https://eprocure.gov.gy/files/GWI%20Advertisements.pdf" TargetMode="External"/><Relationship Id="rId8" Type="http://schemas.openxmlformats.org/officeDocument/2006/relationships/hyperlink" Target="https://eprocure.gov.gy/files/GWI%20Advertisements.pdf" TargetMode="External"/><Relationship Id="rId9" Type="http://schemas.openxmlformats.org/officeDocument/2006/relationships/hyperlink" Target="https://eprocure.gov.gy/files/GWI%20Advertisements.pdf" TargetMode="External"/><Relationship Id="rId10" Type="http://schemas.openxmlformats.org/officeDocument/2006/relationships/hyperlink" Target="https://eprocure.gov.gy/files/GWI%20Advertisements.pdf" TargetMode="External"/><Relationship Id="rId11" Type="http://schemas.openxmlformats.org/officeDocument/2006/relationships/hyperlink" Target="https://eprocure.gov.gy/files/expession%20of%20interest.pdf" TargetMode="External"/><Relationship Id="rId12" Type="http://schemas.openxmlformats.org/officeDocument/2006/relationships/hyperlink" Target="https://dpi.gov.gy/wp-content/uploads/2026/09/6in-x-3col-Guyoil-RFP-Supply-of-Pertroleum.pdf" TargetMode="External"/><Relationship Id="rId13" Type="http://schemas.openxmlformats.org/officeDocument/2006/relationships/hyperlink" Target="https://eprocure.gov.gy/files/GPL-PD-028-2026%20Tender%20Bulletin%20(1).pdf" TargetMode="External"/><Relationship Id="rId14" Type="http://schemas.openxmlformats.org/officeDocument/2006/relationships/hyperlink" Target="https://eprocure.gov.gy/files/HECI%20Adv.pdf" TargetMode="External"/><Relationship Id="rId15" Type="http://schemas.openxmlformats.org/officeDocument/2006/relationships/hyperlink" Target="https://eprocure.gov.gy/files/SPN-%20P501759-CW-1.pdf" TargetMode="External"/><Relationship Id="rId16" Type="http://schemas.openxmlformats.org/officeDocument/2006/relationships/hyperlink" Target="https://eprocure.gov.gy/files/GPL-PD-026-2026%20Tender%20Bulletin%20(1).pdf" TargetMode="External"/><Relationship Id="rId17" Type="http://schemas.openxmlformats.org/officeDocument/2006/relationships/hyperlink" Target="https://eprocure.gov.gy/files/IFB-%20GWI-CDB-W104-2026%20-%20Adventure%20Transmission%20Mains%20Lots%201%20-%204%20Oct.pdf" TargetMode="External"/><Relationship Id="rId18" Type="http://schemas.openxmlformats.org/officeDocument/2006/relationships/hyperlink" Target="https://guyanawaterinc.com/sites/default/files/attachments/IFB%20-%20GWI-CDB-W100-2026%20-%20Bath%20Transmission%20Mains%20Lot%201%20-%204%20Oct_06_2026.pdf" TargetMode="External"/><Relationship Id="rId19" Type="http://schemas.openxmlformats.org/officeDocument/2006/relationships/hyperlink" Target="https://eprocure.gov.gy/files/IFB%20-%20GWI%20CDB-W101-2026%20-%20Leguan%20Transmission%20Mains%20Oct__06_2026.pdf" TargetMode="External"/><Relationship Id="rId20" Type="http://schemas.openxmlformats.org/officeDocument/2006/relationships/hyperlink" Target="https://eprocure.gov.gy/files/IFB-%20GWI-CDB-W102-2026%20-%20Wakenaam%20Transmission%20Mains%20Oct_06_2026.pdf" TargetMode="External"/><Relationship Id="rId21" Type="http://schemas.openxmlformats.org/officeDocument/2006/relationships/hyperlink" Target="https://eprocure.gov.gy/files/IFB-%20GWI-CDB-W103-2026%20-%20Maria&apos;s%20Delight%20Transmission%20Mains%20Lot%201%20-4%20Oct__06_2026.pdf" TargetMode="External"/><Relationship Id="rId22" Type="http://schemas.openxmlformats.org/officeDocument/2006/relationships/hyperlink" Target="https://chpa.gov.gy/invitation-for-bids-ifb-drilling-of-potable-water-wells/" TargetMode="External"/><Relationship Id="rId23" Type="http://schemas.openxmlformats.org/officeDocument/2006/relationships/hyperlink" Target="https://chpa.gov.gy/invitation-for-bids-ifb-drilling-of-potable-water-wells/" TargetMode="External"/><Relationship Id="rId24" Type="http://schemas.openxmlformats.org/officeDocument/2006/relationships/hyperlink" Target="https://chpa.gov.gy/invitation-for-bids-ifb-drilling-of-potable-water-wells/" TargetMode="External"/><Relationship Id="rId25" Type="http://schemas.openxmlformats.org/officeDocument/2006/relationships/hyperlink" Target="https://chpa.gov.gy/invitation-for-bids-ifb-drilling-of-potable-water-wells/" TargetMode="External"/><Relationship Id="rId26" Type="http://schemas.openxmlformats.org/officeDocument/2006/relationships/hyperlink" Target="https://eprocure.gov.gy/files/GPL-PD-030-2026%20Tender%20Bulletin.pdf" TargetMode="External"/><Relationship Id="rId27" Type="http://schemas.openxmlformats.org/officeDocument/2006/relationships/hyperlink" Target="https://eprocure.gov.gy/files/INVITATION%20FOR%20BIDS-Security%20Services%20PSM%20WORD.pdf" TargetMode="External"/><Relationship Id="rId28" Type="http://schemas.openxmlformats.org/officeDocument/2006/relationships/hyperlink" Target="https://dpi.gov.gy/ministry-of-home-affairs-invitation-for-bids-15/" TargetMode="External"/><Relationship Id="rId29" Type="http://schemas.openxmlformats.org/officeDocument/2006/relationships/hyperlink" Target="https://dpi.gov.gy/ministry-of-home-affairs-invitation-for-bids-15/" TargetMode="External"/><Relationship Id="rId30" Type="http://schemas.openxmlformats.org/officeDocument/2006/relationships/drawing" Target="../drawings/drawing2.xml"/><Relationship Id="rId31" Type="http://schemas.openxmlformats.org/officeDocument/2006/relationships/vmlDrawing" Target="../drawings/vmlDrawing2.vml"/><Relationship Id="rId32"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lcregister.petroleum.gov.gy/opportunities/" TargetMode="External"/><Relationship Id="rId3" Type="http://schemas.openxmlformats.org/officeDocument/2006/relationships/hyperlink" Target="https://lcregister.petroleum.gov.gy/opportunities/" TargetMode="External"/><Relationship Id="rId4" Type="http://schemas.openxmlformats.org/officeDocument/2006/relationships/hyperlink" Target="https://lcregister.petroleum.gov.gy/opportunities/" TargetMode="External"/><Relationship Id="rId5" Type="http://schemas.openxmlformats.org/officeDocument/2006/relationships/hyperlink" Target="https://lcregister.petroleum.gov.gy/opportunities/" TargetMode="External"/><Relationship Id="rId6" Type="http://schemas.openxmlformats.org/officeDocument/2006/relationships/hyperlink" Target="https://lcregister.petroleum.gov.gy/opportunities/" TargetMode="External"/><Relationship Id="rId7" Type="http://schemas.openxmlformats.org/officeDocument/2006/relationships/hyperlink" Target="https://lcregister.petroleum.gov.gy/opportunities/" TargetMode="External"/><Relationship Id="rId8" Type="http://schemas.openxmlformats.org/officeDocument/2006/relationships/hyperlink" Target="https://lcregister.petroleum.gov.gy/opportunities/" TargetMode="External"/><Relationship Id="rId9" Type="http://schemas.openxmlformats.org/officeDocument/2006/relationships/hyperlink" Target="https://lcregister.petroleum.gov.gy/opportunities/" TargetMode="External"/><Relationship Id="rId10" Type="http://schemas.openxmlformats.org/officeDocument/2006/relationships/hyperlink" Target="https://lcregister.petroleum.gov.gy/opportunities/" TargetMode="External"/><Relationship Id="rId11" Type="http://schemas.openxmlformats.org/officeDocument/2006/relationships/hyperlink" Target="https://lcregister.petroleum.gov.gy/opportunities/" TargetMode="External"/><Relationship Id="rId12" Type="http://schemas.openxmlformats.org/officeDocument/2006/relationships/hyperlink" Target="https://lcregister.petroleum.gov.gy/opportunities/" TargetMode="External"/><Relationship Id="rId13" Type="http://schemas.openxmlformats.org/officeDocument/2006/relationships/hyperlink" Target="https://lcregister.petroleum.gov.gy/opportunities/" TargetMode="External"/><Relationship Id="rId14" Type="http://schemas.openxmlformats.org/officeDocument/2006/relationships/hyperlink" Target="https://lcregister.petroleum.gov.gy/opportunities/" TargetMode="External"/><Relationship Id="rId15" Type="http://schemas.openxmlformats.org/officeDocument/2006/relationships/hyperlink" Target="https://lcregister.petroleum.gov.gy/opportunities/" TargetMode="External"/><Relationship Id="rId16" Type="http://schemas.openxmlformats.org/officeDocument/2006/relationships/hyperlink" Target="https://lcregister.petroleum.gov.gy/opportunities/" TargetMode="External"/><Relationship Id="rId17" Type="http://schemas.openxmlformats.org/officeDocument/2006/relationships/hyperlink" Target="https://lcregister.petroleum.gov.gy/opportunities/" TargetMode="External"/><Relationship Id="rId18" Type="http://schemas.openxmlformats.org/officeDocument/2006/relationships/hyperlink" Target="https://lcregister.petroleum.gov.gy/opportunities/" TargetMode="External"/><Relationship Id="rId19" Type="http://schemas.openxmlformats.org/officeDocument/2006/relationships/hyperlink" Target="https://lcregister.petroleum.gov.gy/supplier-notice/replacement-of-water-filter-media/" TargetMode="External"/><Relationship Id="rId20" Type="http://schemas.openxmlformats.org/officeDocument/2006/relationships/hyperlink" Target="https://procurement-notices.undp.org/view_negotiation.cfm?nego_id=13551" TargetMode="External"/><Relationship Id="rId21" Type="http://schemas.openxmlformats.org/officeDocument/2006/relationships/drawing" Target="../drawings/drawing3.xml"/><Relationship Id="rId22" Type="http://schemas.openxmlformats.org/officeDocument/2006/relationships/vmlDrawing" Target="../drawings/vmlDrawing3.vml"/><Relationship Id="rId23"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pi.gov.gy/ministry-of-agriculture-hydrometeorological-service-instructions-to-consultants/" TargetMode="External"/><Relationship Id="rId3" Type="http://schemas.openxmlformats.org/officeDocument/2006/relationships/hyperlink" Target="https://dpi.gov.gy/category/government-adverts/invitation-for-bids/" TargetMode="External"/><Relationship Id="rId4" Type="http://schemas.openxmlformats.org/officeDocument/2006/relationships/hyperlink" Target="https://dpi.gov.gy/category/government-adverts/invitation-for-bids/" TargetMode="External"/><Relationship Id="rId5" Type="http://schemas.openxmlformats.org/officeDocument/2006/relationships/hyperlink" Target="https://dpi.gov.gy/category/government-adverts/invitation-for-bids/" TargetMode="External"/><Relationship Id="rId6" Type="http://schemas.openxmlformats.org/officeDocument/2006/relationships/hyperlink" Target="https://dpi.gov.gy/category/government-adverts/invitation-for-bids/" TargetMode="External"/><Relationship Id="rId7" Type="http://schemas.openxmlformats.org/officeDocument/2006/relationships/hyperlink" Target="https://dpi.gov.gy/category/government-adverts/invitation-for-bids/" TargetMode="External"/><Relationship Id="rId8" Type="http://schemas.openxmlformats.org/officeDocument/2006/relationships/hyperlink" Target="http://www.iadb.org/en/project/GY-L1080" TargetMode="External"/><Relationship Id="rId9" Type="http://schemas.openxmlformats.org/officeDocument/2006/relationships/hyperlink" Target="https://www.caribank.org/work-with-us/procurement/procurement-notices/guyana-skills-development-and-employability-project-gsdep-cdb-19/sfr-guy-extension-deadline" TargetMode="External"/><Relationship Id="rId10" Type="http://schemas.openxmlformats.org/officeDocument/2006/relationships/vmlDrawing" Target="../drawings/vmlDrawing4.vml"/><Relationship Id="rId1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5A021"/>
    <pageSetUpPr fitToPage="true"/>
  </sheetPr>
  <dimension ref="A1:H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8" min="1" style="0" width="18"/>
  </cols>
  <sheetData>
    <row r="1" customFormat="false" ht="30" hidden="false" customHeight="true" outlineLevel="0" collapsed="false">
      <c r="A1" s="1" t="s">
        <v>0</v>
      </c>
      <c r="B1" s="1"/>
      <c r="C1" s="1"/>
      <c r="D1" s="1"/>
      <c r="E1" s="1"/>
      <c r="F1" s="1"/>
      <c r="G1" s="1"/>
      <c r="H1" s="1"/>
    </row>
    <row r="2" customFormat="false" ht="24" hidden="false" customHeight="true" outlineLevel="0" collapsed="false">
      <c r="A2" s="2" t="s">
        <v>1</v>
      </c>
      <c r="B2" s="2"/>
      <c r="C2" s="2"/>
      <c r="D2" s="2"/>
      <c r="E2" s="2"/>
      <c r="F2" s="2"/>
      <c r="G2" s="2"/>
      <c r="H2" s="2"/>
    </row>
    <row r="3" customFormat="false" ht="15" hidden="false" customHeight="false" outlineLevel="0" collapsed="false">
      <c r="A3" s="3" t="s">
        <v>2</v>
      </c>
      <c r="B3" s="4" t="n">
        <v>46278</v>
      </c>
    </row>
    <row r="5" customFormat="false" ht="15" hidden="false" customHeight="false" outlineLevel="0" collapsed="false">
      <c r="A5" s="5" t="s">
        <v>3</v>
      </c>
      <c r="B5" s="5"/>
      <c r="C5" s="5" t="s">
        <v>4</v>
      </c>
      <c r="D5" s="5"/>
      <c r="E5" s="5" t="s">
        <v>5</v>
      </c>
      <c r="F5" s="5"/>
      <c r="G5" s="5" t="s">
        <v>6</v>
      </c>
      <c r="H5" s="5"/>
    </row>
    <row r="6" customFormat="false" ht="22.05" hidden="false" customHeight="false" outlineLevel="0" collapsed="false">
      <c r="A6" s="6" t="n">
        <f aca="false">COUNTA('All Open Orders'!A5:A200)</f>
        <v>47</v>
      </c>
      <c r="B6" s="6"/>
      <c r="C6" s="7" t="n">
        <f aca="false">COUNTIF('All Open Orders'!B5:B200,"Government")</f>
        <v>28</v>
      </c>
      <c r="D6" s="7"/>
      <c r="E6" s="7" t="n">
        <f aca="false">COUNTIF('All Open Orders'!B5:B200,"Private")</f>
        <v>18</v>
      </c>
      <c r="F6" s="7"/>
      <c r="G6" s="7" t="n">
        <f aca="false">COUNTIF('All Open Orders'!B5:B200,"Multilateral")</f>
        <v>1</v>
      </c>
      <c r="H6" s="7"/>
    </row>
    <row r="8" customFormat="false" ht="15" hidden="false" customHeight="false" outlineLevel="0" collapsed="false">
      <c r="A8" s="5" t="s">
        <v>7</v>
      </c>
      <c r="B8" s="5"/>
      <c r="C8" s="5" t="s">
        <v>8</v>
      </c>
      <c r="D8" s="5"/>
      <c r="E8" s="5" t="s">
        <v>9</v>
      </c>
      <c r="F8" s="5"/>
      <c r="G8" s="5" t="s">
        <v>10</v>
      </c>
      <c r="H8" s="5"/>
    </row>
    <row r="9" customFormat="false" ht="22.05" hidden="false" customHeight="false" outlineLevel="0" collapsed="false">
      <c r="A9" s="7" t="n">
        <f aca="false">COUNT('All Open Orders'!G5:G200)</f>
        <v>44</v>
      </c>
      <c r="B9" s="7"/>
      <c r="C9" s="6" t="n">
        <f aca="false">COUNTBLANK('All Open Orders'!G5:G51)</f>
        <v>3</v>
      </c>
      <c r="D9" s="6"/>
      <c r="E9" s="6" t="n">
        <f aca="false">COUNTIFS('All Open Orders'!G5:G200,"&gt;="&amp;$B$3,'All Open Orders'!G5:G200,"&lt;="&amp;$B$3+7)</f>
        <v>2</v>
      </c>
      <c r="F9" s="6"/>
      <c r="G9" s="7" t="n">
        <f aca="false">COUNTIFS('All Open Orders'!G5:G200,"&gt;="&amp;$B$3,'All Open Orders'!G5:G200,"&lt;="&amp;$B$3+21)</f>
        <v>21</v>
      </c>
      <c r="H9" s="7"/>
    </row>
    <row r="12" customFormat="false" ht="15" hidden="false" customHeight="false" outlineLevel="0" collapsed="false">
      <c r="A12" s="8" t="s">
        <v>11</v>
      </c>
    </row>
    <row r="13" customFormat="false" ht="27.75" hidden="false" customHeight="true" outlineLevel="0" collapsed="false">
      <c r="A13" s="9" t="s">
        <v>12</v>
      </c>
      <c r="B13" s="9"/>
      <c r="C13" s="9"/>
      <c r="D13" s="9"/>
      <c r="E13" s="9"/>
      <c r="F13" s="9"/>
      <c r="G13" s="9"/>
      <c r="H13" s="9"/>
    </row>
    <row r="14" customFormat="false" ht="27.75" hidden="false" customHeight="true" outlineLevel="0" collapsed="false">
      <c r="A14" s="9" t="s">
        <v>13</v>
      </c>
      <c r="B14" s="9"/>
      <c r="C14" s="9"/>
      <c r="D14" s="9"/>
      <c r="E14" s="9"/>
      <c r="F14" s="9"/>
      <c r="G14" s="9"/>
      <c r="H14" s="9"/>
    </row>
    <row r="15" customFormat="false" ht="27.75" hidden="false" customHeight="true" outlineLevel="0" collapsed="false">
      <c r="A15" s="9" t="s">
        <v>14</v>
      </c>
      <c r="B15" s="9"/>
      <c r="C15" s="9"/>
      <c r="D15" s="9"/>
      <c r="E15" s="9"/>
      <c r="F15" s="9"/>
      <c r="G15" s="9"/>
      <c r="H15" s="9"/>
    </row>
    <row r="16" customFormat="false" ht="27.75" hidden="false" customHeight="true" outlineLevel="0" collapsed="false">
      <c r="A16" s="9" t="s">
        <v>15</v>
      </c>
      <c r="B16" s="9"/>
      <c r="C16" s="9"/>
      <c r="D16" s="9"/>
      <c r="E16" s="9"/>
      <c r="F16" s="9"/>
      <c r="G16" s="9"/>
      <c r="H16" s="9"/>
    </row>
    <row r="17" customFormat="false" ht="27.75" hidden="false" customHeight="true" outlineLevel="0" collapsed="false">
      <c r="A17" s="9" t="s">
        <v>16</v>
      </c>
      <c r="B17" s="9"/>
      <c r="C17" s="9"/>
      <c r="D17" s="9"/>
      <c r="E17" s="9"/>
      <c r="F17" s="9"/>
      <c r="G17" s="9"/>
      <c r="H17" s="9"/>
    </row>
    <row r="20" customFormat="false" ht="15" hidden="false" customHeight="false" outlineLevel="0" collapsed="false">
      <c r="A20" s="10" t="s">
        <v>17</v>
      </c>
    </row>
    <row r="21" customFormat="false" ht="15" hidden="false" customHeight="true" outlineLevel="0" collapsed="false">
      <c r="A21" s="11" t="s">
        <v>18</v>
      </c>
      <c r="B21" s="11"/>
      <c r="C21" s="11"/>
      <c r="D21" s="11"/>
      <c r="E21" s="11"/>
      <c r="F21" s="11"/>
      <c r="G21" s="11"/>
      <c r="H21" s="11"/>
    </row>
    <row r="22" customFormat="false" ht="15" hidden="false" customHeight="false" outlineLevel="0" collapsed="false">
      <c r="A22" s="11"/>
      <c r="B22" s="11"/>
      <c r="C22" s="11"/>
      <c r="D22" s="11"/>
      <c r="E22" s="11"/>
      <c r="F22" s="11"/>
      <c r="G22" s="11"/>
      <c r="H22" s="11"/>
    </row>
  </sheetData>
  <mergeCells count="24">
    <mergeCell ref="A1:H1"/>
    <mergeCell ref="A2:H2"/>
    <mergeCell ref="A5:B5"/>
    <mergeCell ref="C5:D5"/>
    <mergeCell ref="E5:F5"/>
    <mergeCell ref="G5:H5"/>
    <mergeCell ref="A6:B6"/>
    <mergeCell ref="C6:D6"/>
    <mergeCell ref="E6:F6"/>
    <mergeCell ref="G6:H6"/>
    <mergeCell ref="A8:B8"/>
    <mergeCell ref="C8:D8"/>
    <mergeCell ref="E8:F8"/>
    <mergeCell ref="G8:H8"/>
    <mergeCell ref="A9:B9"/>
    <mergeCell ref="C9:D9"/>
    <mergeCell ref="E9:F9"/>
    <mergeCell ref="G9:H9"/>
    <mergeCell ref="A13:H13"/>
    <mergeCell ref="A14:H14"/>
    <mergeCell ref="A15:H15"/>
    <mergeCell ref="A16:H16"/>
    <mergeCell ref="A17:H17"/>
    <mergeCell ref="A21:H22"/>
  </mergeCells>
  <printOptions headings="false" gridLines="false" gridLinesSet="true" horizontalCentered="false" verticalCentered="false"/>
  <pageMargins left="0.25" right="0.25" top="0.4" bottom="0.4"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&amp;K777777Guyana open orders snapshot | 13 Sep 2026</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45B8A"/>
    <pageSetUpPr fitToPage="true"/>
  </sheetPr>
  <dimension ref="A1:M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29"/>
    <col collapsed="false" customWidth="true" hidden="false" outlineLevel="0" max="4" min="4" style="0" width="42"/>
    <col collapsed="false" customWidth="true" hidden="false" outlineLevel="0" max="5" min="5" style="0" width="22"/>
    <col collapsed="false" customWidth="true" hidden="false" outlineLevel="0" max="7" min="6" style="0" width="15"/>
    <col collapsed="false" customWidth="true" hidden="false" outlineLevel="0" max="8" min="8" style="0" width="14"/>
    <col collapsed="false" customWidth="true" hidden="false" outlineLevel="0" max="9" min="9" style="0" width="26"/>
    <col collapsed="false" customWidth="true" hidden="false" outlineLevel="0" max="10" min="10" style="0" width="52"/>
    <col collapsed="false" customWidth="true" hidden="false" outlineLevel="0" max="11" min="11" style="0" width="26"/>
    <col collapsed="false" customWidth="true" hidden="false" outlineLevel="0" max="12" min="12" style="0" width="22"/>
    <col collapsed="false" customWidth="true" hidden="false" outlineLevel="0" max="13" min="13" style="0" width="34"/>
  </cols>
  <sheetData>
    <row r="1" customFormat="false" ht="30" hidden="false" customHeight="true" outlineLevel="0" collapsed="false">
      <c r="A1" s="1" t="s">
        <v>19</v>
      </c>
      <c r="B1" s="1"/>
      <c r="C1" s="1"/>
      <c r="D1" s="1"/>
      <c r="E1" s="1"/>
      <c r="F1" s="1"/>
      <c r="G1" s="1"/>
      <c r="H1" s="1"/>
      <c r="I1" s="1"/>
      <c r="J1" s="1"/>
      <c r="K1" s="1"/>
      <c r="L1" s="1"/>
      <c r="M1" s="1"/>
    </row>
    <row r="2" customFormat="false" ht="24" hidden="false" customHeight="true" outlineLevel="0" collapsed="false">
      <c r="A2" s="2" t="s">
        <v>20</v>
      </c>
      <c r="B2" s="2"/>
      <c r="C2" s="2"/>
      <c r="D2" s="2"/>
      <c r="E2" s="2"/>
      <c r="F2" s="2"/>
      <c r="G2" s="2"/>
      <c r="H2" s="2"/>
      <c r="I2" s="2"/>
      <c r="J2" s="2"/>
      <c r="K2" s="2"/>
      <c r="L2" s="2"/>
      <c r="M2" s="2"/>
    </row>
    <row r="4" customFormat="false" ht="33.75" hidden="false" customHeight="true" outlineLevel="0" collapsed="false">
      <c r="A4" s="12" t="s">
        <v>21</v>
      </c>
      <c r="B4" s="12" t="s">
        <v>22</v>
      </c>
      <c r="C4" s="12" t="s">
        <v>23</v>
      </c>
      <c r="D4" s="12" t="s">
        <v>24</v>
      </c>
      <c r="E4" s="12" t="s">
        <v>25</v>
      </c>
      <c r="F4" s="12" t="s">
        <v>26</v>
      </c>
      <c r="G4" s="12" t="s">
        <v>27</v>
      </c>
      <c r="H4" s="12" t="s">
        <v>28</v>
      </c>
      <c r="I4" s="12" t="s">
        <v>29</v>
      </c>
      <c r="J4" s="12" t="s">
        <v>30</v>
      </c>
      <c r="K4" s="12" t="s">
        <v>31</v>
      </c>
      <c r="L4" s="12" t="s">
        <v>32</v>
      </c>
      <c r="M4" s="12" t="s">
        <v>33</v>
      </c>
    </row>
    <row r="5" customFormat="false" ht="48" hidden="false" customHeight="true" outlineLevel="0" collapsed="false">
      <c r="A5" s="13" t="s">
        <v>34</v>
      </c>
      <c r="B5" s="14" t="s">
        <v>4</v>
      </c>
      <c r="C5" s="15" t="s">
        <v>35</v>
      </c>
      <c r="D5" s="15" t="s">
        <v>36</v>
      </c>
      <c r="E5" s="13" t="s">
        <v>37</v>
      </c>
      <c r="F5" s="13" t="s">
        <v>38</v>
      </c>
      <c r="G5" s="16" t="n">
        <v>46280</v>
      </c>
      <c r="H5" s="17" t="n">
        <f aca="false">G5-Overview!$B$3</f>
        <v>2</v>
      </c>
      <c r="I5" s="15" t="s">
        <v>39</v>
      </c>
      <c r="J5" s="15" t="s">
        <v>40</v>
      </c>
      <c r="K5" s="15" t="s">
        <v>41</v>
      </c>
      <c r="L5" s="18" t="s">
        <v>42</v>
      </c>
      <c r="M5" s="15" t="s">
        <v>43</v>
      </c>
    </row>
    <row r="6" customFormat="false" ht="48" hidden="false" customHeight="true" outlineLevel="0" collapsed="false">
      <c r="A6" s="19" t="s">
        <v>44</v>
      </c>
      <c r="B6" s="20" t="s">
        <v>45</v>
      </c>
      <c r="C6" s="21" t="s">
        <v>46</v>
      </c>
      <c r="D6" s="21" t="s">
        <v>47</v>
      </c>
      <c r="E6" s="19" t="s">
        <v>48</v>
      </c>
      <c r="F6" s="19" t="s">
        <v>49</v>
      </c>
      <c r="G6" s="22" t="n">
        <v>46283</v>
      </c>
      <c r="H6" s="23" t="n">
        <f aca="false">G6-Overview!$B$3</f>
        <v>5</v>
      </c>
      <c r="I6" s="21" t="s">
        <v>50</v>
      </c>
      <c r="J6" s="21" t="s">
        <v>51</v>
      </c>
      <c r="K6" s="21" t="s">
        <v>41</v>
      </c>
      <c r="L6" s="18" t="s">
        <v>52</v>
      </c>
      <c r="M6" s="21" t="s">
        <v>53</v>
      </c>
    </row>
    <row r="7" customFormat="false" ht="48" hidden="false" customHeight="true" outlineLevel="0" collapsed="false">
      <c r="A7" s="13" t="s">
        <v>54</v>
      </c>
      <c r="B7" s="14" t="s">
        <v>4</v>
      </c>
      <c r="C7" s="15" t="s">
        <v>55</v>
      </c>
      <c r="D7" s="15" t="s">
        <v>56</v>
      </c>
      <c r="E7" s="13" t="s">
        <v>57</v>
      </c>
      <c r="F7" s="13" t="s">
        <v>58</v>
      </c>
      <c r="G7" s="16" t="n">
        <v>46286</v>
      </c>
      <c r="H7" s="17" t="n">
        <f aca="false">G7-Overview!$B$3</f>
        <v>8</v>
      </c>
      <c r="I7" s="15" t="s">
        <v>59</v>
      </c>
      <c r="J7" s="15" t="s">
        <v>60</v>
      </c>
      <c r="K7" s="15" t="s">
        <v>41</v>
      </c>
      <c r="L7" s="18" t="s">
        <v>61</v>
      </c>
      <c r="M7" s="15"/>
    </row>
    <row r="8" customFormat="false" ht="48" hidden="false" customHeight="true" outlineLevel="0" collapsed="false">
      <c r="A8" s="19" t="s">
        <v>62</v>
      </c>
      <c r="B8" s="20" t="s">
        <v>45</v>
      </c>
      <c r="C8" s="21" t="s">
        <v>63</v>
      </c>
      <c r="D8" s="21" t="s">
        <v>64</v>
      </c>
      <c r="E8" s="19" t="s">
        <v>48</v>
      </c>
      <c r="F8" s="19" t="s">
        <v>65</v>
      </c>
      <c r="G8" s="22" t="n">
        <v>46286</v>
      </c>
      <c r="H8" s="23" t="n">
        <f aca="false">G8-Overview!$B$3</f>
        <v>8</v>
      </c>
      <c r="I8" s="21" t="s">
        <v>66</v>
      </c>
      <c r="J8" s="21" t="s">
        <v>67</v>
      </c>
      <c r="K8" s="21" t="s">
        <v>41</v>
      </c>
      <c r="L8" s="18" t="s">
        <v>52</v>
      </c>
      <c r="M8" s="21" t="s">
        <v>53</v>
      </c>
    </row>
    <row r="9" customFormat="false" ht="48" hidden="false" customHeight="true" outlineLevel="0" collapsed="false">
      <c r="A9" s="13" t="s">
        <v>68</v>
      </c>
      <c r="B9" s="14" t="s">
        <v>4</v>
      </c>
      <c r="C9" s="15" t="s">
        <v>69</v>
      </c>
      <c r="D9" s="15" t="s">
        <v>70</v>
      </c>
      <c r="E9" s="13" t="s">
        <v>71</v>
      </c>
      <c r="F9" s="13" t="s">
        <v>58</v>
      </c>
      <c r="G9" s="16" t="n">
        <v>46287</v>
      </c>
      <c r="H9" s="17" t="n">
        <f aca="false">G9-Overview!$B$3</f>
        <v>9</v>
      </c>
      <c r="I9" s="15" t="s">
        <v>72</v>
      </c>
      <c r="J9" s="15" t="s">
        <v>73</v>
      </c>
      <c r="K9" s="15" t="s">
        <v>74</v>
      </c>
      <c r="L9" s="18" t="s">
        <v>75</v>
      </c>
      <c r="M9" s="15"/>
    </row>
    <row r="10" customFormat="false" ht="48" hidden="false" customHeight="true" outlineLevel="0" collapsed="false">
      <c r="A10" s="19" t="s">
        <v>76</v>
      </c>
      <c r="B10" s="20" t="s">
        <v>45</v>
      </c>
      <c r="C10" s="21" t="s">
        <v>77</v>
      </c>
      <c r="D10" s="21" t="s">
        <v>78</v>
      </c>
      <c r="E10" s="19" t="s">
        <v>79</v>
      </c>
      <c r="F10" s="19" t="s">
        <v>49</v>
      </c>
      <c r="G10" s="22" t="n">
        <v>46288</v>
      </c>
      <c r="H10" s="23" t="n">
        <f aca="false">G10-Overview!$B$3</f>
        <v>10</v>
      </c>
      <c r="I10" s="21" t="s">
        <v>80</v>
      </c>
      <c r="J10" s="21" t="s">
        <v>81</v>
      </c>
      <c r="K10" s="21" t="s">
        <v>41</v>
      </c>
      <c r="L10" s="18" t="s">
        <v>52</v>
      </c>
      <c r="M10" s="21" t="s">
        <v>53</v>
      </c>
    </row>
    <row r="11" customFormat="false" ht="48" hidden="false" customHeight="true" outlineLevel="0" collapsed="false">
      <c r="A11" s="13" t="s">
        <v>82</v>
      </c>
      <c r="B11" s="20" t="s">
        <v>45</v>
      </c>
      <c r="C11" s="15" t="s">
        <v>83</v>
      </c>
      <c r="D11" s="15" t="s">
        <v>84</v>
      </c>
      <c r="E11" s="13" t="s">
        <v>85</v>
      </c>
      <c r="F11" s="13" t="s">
        <v>49</v>
      </c>
      <c r="G11" s="16" t="n">
        <v>46290</v>
      </c>
      <c r="H11" s="17" t="n">
        <f aca="false">G11-Overview!$B$3</f>
        <v>12</v>
      </c>
      <c r="I11" s="15" t="s">
        <v>86</v>
      </c>
      <c r="J11" s="15" t="s">
        <v>87</v>
      </c>
      <c r="K11" s="15" t="s">
        <v>41</v>
      </c>
      <c r="L11" s="18" t="s">
        <v>52</v>
      </c>
      <c r="M11" s="15" t="s">
        <v>53</v>
      </c>
    </row>
    <row r="12" customFormat="false" ht="48" hidden="false" customHeight="true" outlineLevel="0" collapsed="false">
      <c r="A12" s="19" t="s">
        <v>88</v>
      </c>
      <c r="B12" s="20" t="s">
        <v>45</v>
      </c>
      <c r="C12" s="21" t="s">
        <v>83</v>
      </c>
      <c r="D12" s="21" t="s">
        <v>89</v>
      </c>
      <c r="E12" s="19" t="s">
        <v>85</v>
      </c>
      <c r="F12" s="19" t="s">
        <v>49</v>
      </c>
      <c r="G12" s="22" t="n">
        <v>46290</v>
      </c>
      <c r="H12" s="23" t="n">
        <f aca="false">G12-Overview!$B$3</f>
        <v>12</v>
      </c>
      <c r="I12" s="21" t="s">
        <v>86</v>
      </c>
      <c r="J12" s="21" t="s">
        <v>90</v>
      </c>
      <c r="K12" s="21" t="s">
        <v>41</v>
      </c>
      <c r="L12" s="18" t="s">
        <v>52</v>
      </c>
      <c r="M12" s="21" t="s">
        <v>53</v>
      </c>
    </row>
    <row r="13" customFormat="false" ht="48" hidden="false" customHeight="true" outlineLevel="0" collapsed="false">
      <c r="A13" s="13" t="s">
        <v>91</v>
      </c>
      <c r="B13" s="20" t="s">
        <v>45</v>
      </c>
      <c r="C13" s="15" t="s">
        <v>92</v>
      </c>
      <c r="D13" s="15" t="s">
        <v>93</v>
      </c>
      <c r="E13" s="13" t="s">
        <v>94</v>
      </c>
      <c r="F13" s="13" t="s">
        <v>49</v>
      </c>
      <c r="G13" s="16" t="n">
        <v>46291</v>
      </c>
      <c r="H13" s="17" t="n">
        <f aca="false">G13-Overview!$B$3</f>
        <v>13</v>
      </c>
      <c r="I13" s="15" t="s">
        <v>95</v>
      </c>
      <c r="J13" s="15" t="s">
        <v>96</v>
      </c>
      <c r="K13" s="15" t="s">
        <v>41</v>
      </c>
      <c r="L13" s="18" t="s">
        <v>52</v>
      </c>
      <c r="M13" s="15" t="s">
        <v>53</v>
      </c>
    </row>
    <row r="14" customFormat="false" ht="48" hidden="false" customHeight="true" outlineLevel="0" collapsed="false">
      <c r="A14" s="19" t="s">
        <v>97</v>
      </c>
      <c r="B14" s="14" t="s">
        <v>4</v>
      </c>
      <c r="C14" s="21" t="s">
        <v>98</v>
      </c>
      <c r="D14" s="21" t="s">
        <v>99</v>
      </c>
      <c r="E14" s="19" t="s">
        <v>100</v>
      </c>
      <c r="F14" s="19" t="s">
        <v>58</v>
      </c>
      <c r="G14" s="22" t="n">
        <v>46294</v>
      </c>
      <c r="H14" s="23" t="n">
        <f aca="false">G14-Overview!$B$3</f>
        <v>16</v>
      </c>
      <c r="I14" s="21" t="s">
        <v>101</v>
      </c>
      <c r="J14" s="21" t="s">
        <v>102</v>
      </c>
      <c r="K14" s="21" t="s">
        <v>74</v>
      </c>
      <c r="L14" s="18" t="s">
        <v>103</v>
      </c>
      <c r="M14" s="21" t="s">
        <v>104</v>
      </c>
    </row>
    <row r="15" customFormat="false" ht="48" hidden="false" customHeight="true" outlineLevel="0" collapsed="false">
      <c r="A15" s="13" t="s">
        <v>105</v>
      </c>
      <c r="B15" s="14" t="s">
        <v>4</v>
      </c>
      <c r="C15" s="15" t="s">
        <v>69</v>
      </c>
      <c r="D15" s="15" t="s">
        <v>106</v>
      </c>
      <c r="E15" s="13" t="s">
        <v>107</v>
      </c>
      <c r="F15" s="13" t="s">
        <v>108</v>
      </c>
      <c r="G15" s="16" t="n">
        <v>46294</v>
      </c>
      <c r="H15" s="17" t="n">
        <f aca="false">G15-Overview!$B$3</f>
        <v>16</v>
      </c>
      <c r="I15" s="15" t="s">
        <v>109</v>
      </c>
      <c r="J15" s="15" t="s">
        <v>110</v>
      </c>
      <c r="K15" s="15" t="s">
        <v>74</v>
      </c>
      <c r="L15" s="18" t="s">
        <v>75</v>
      </c>
      <c r="M15" s="15"/>
    </row>
    <row r="16" customFormat="false" ht="48" hidden="false" customHeight="true" outlineLevel="0" collapsed="false">
      <c r="A16" s="19" t="s">
        <v>111</v>
      </c>
      <c r="B16" s="14" t="s">
        <v>4</v>
      </c>
      <c r="C16" s="21" t="s">
        <v>69</v>
      </c>
      <c r="D16" s="21" t="s">
        <v>112</v>
      </c>
      <c r="E16" s="19" t="s">
        <v>113</v>
      </c>
      <c r="F16" s="19" t="s">
        <v>58</v>
      </c>
      <c r="G16" s="22" t="n">
        <v>46294</v>
      </c>
      <c r="H16" s="23" t="n">
        <f aca="false">G16-Overview!$B$3</f>
        <v>16</v>
      </c>
      <c r="I16" s="21" t="s">
        <v>109</v>
      </c>
      <c r="J16" s="21" t="s">
        <v>114</v>
      </c>
      <c r="K16" s="21" t="s">
        <v>74</v>
      </c>
      <c r="L16" s="18" t="s">
        <v>75</v>
      </c>
      <c r="M16" s="21"/>
    </row>
    <row r="17" customFormat="false" ht="48" hidden="false" customHeight="true" outlineLevel="0" collapsed="false">
      <c r="A17" s="13" t="s">
        <v>115</v>
      </c>
      <c r="B17" s="14" t="s">
        <v>4</v>
      </c>
      <c r="C17" s="15" t="s">
        <v>69</v>
      </c>
      <c r="D17" s="15" t="s">
        <v>116</v>
      </c>
      <c r="E17" s="13" t="s">
        <v>117</v>
      </c>
      <c r="F17" s="13" t="s">
        <v>58</v>
      </c>
      <c r="G17" s="16" t="n">
        <v>46294</v>
      </c>
      <c r="H17" s="17" t="n">
        <f aca="false">G17-Overview!$B$3</f>
        <v>16</v>
      </c>
      <c r="I17" s="15" t="s">
        <v>109</v>
      </c>
      <c r="J17" s="15" t="s">
        <v>118</v>
      </c>
      <c r="K17" s="15" t="s">
        <v>74</v>
      </c>
      <c r="L17" s="18" t="s">
        <v>75</v>
      </c>
      <c r="M17" s="15"/>
    </row>
    <row r="18" customFormat="false" ht="48" hidden="false" customHeight="true" outlineLevel="0" collapsed="false">
      <c r="A18" s="19" t="s">
        <v>119</v>
      </c>
      <c r="B18" s="14" t="s">
        <v>4</v>
      </c>
      <c r="C18" s="21" t="s">
        <v>69</v>
      </c>
      <c r="D18" s="21" t="s">
        <v>120</v>
      </c>
      <c r="E18" s="19" t="s">
        <v>121</v>
      </c>
      <c r="F18" s="19" t="s">
        <v>58</v>
      </c>
      <c r="G18" s="22" t="n">
        <v>46294</v>
      </c>
      <c r="H18" s="23" t="n">
        <f aca="false">G18-Overview!$B$3</f>
        <v>16</v>
      </c>
      <c r="I18" s="21" t="s">
        <v>109</v>
      </c>
      <c r="J18" s="21" t="s">
        <v>118</v>
      </c>
      <c r="K18" s="21" t="s">
        <v>74</v>
      </c>
      <c r="L18" s="18" t="s">
        <v>75</v>
      </c>
      <c r="M18" s="21"/>
    </row>
    <row r="19" customFormat="false" ht="48" hidden="false" customHeight="true" outlineLevel="0" collapsed="false">
      <c r="A19" s="13" t="s">
        <v>122</v>
      </c>
      <c r="B19" s="14" t="s">
        <v>4</v>
      </c>
      <c r="C19" s="15" t="s">
        <v>69</v>
      </c>
      <c r="D19" s="15" t="s">
        <v>123</v>
      </c>
      <c r="E19" s="13" t="s">
        <v>124</v>
      </c>
      <c r="F19" s="13" t="s">
        <v>108</v>
      </c>
      <c r="G19" s="16" t="n">
        <v>46294</v>
      </c>
      <c r="H19" s="17" t="n">
        <f aca="false">G19-Overview!$B$3</f>
        <v>16</v>
      </c>
      <c r="I19" s="15" t="s">
        <v>109</v>
      </c>
      <c r="J19" s="15" t="s">
        <v>125</v>
      </c>
      <c r="K19" s="15" t="s">
        <v>74</v>
      </c>
      <c r="L19" s="18" t="s">
        <v>75</v>
      </c>
      <c r="M19" s="15"/>
    </row>
    <row r="20" customFormat="false" ht="48" hidden="false" customHeight="true" outlineLevel="0" collapsed="false">
      <c r="A20" s="19" t="s">
        <v>126</v>
      </c>
      <c r="B20" s="14" t="s">
        <v>4</v>
      </c>
      <c r="C20" s="21" t="s">
        <v>127</v>
      </c>
      <c r="D20" s="21" t="s">
        <v>128</v>
      </c>
      <c r="E20" s="19" t="s">
        <v>129</v>
      </c>
      <c r="F20" s="19" t="s">
        <v>38</v>
      </c>
      <c r="G20" s="22" t="n">
        <v>46294</v>
      </c>
      <c r="H20" s="23" t="n">
        <f aca="false">G20-Overview!$B$3</f>
        <v>16</v>
      </c>
      <c r="I20" s="21" t="s">
        <v>130</v>
      </c>
      <c r="J20" s="21" t="s">
        <v>131</v>
      </c>
      <c r="K20" s="21" t="s">
        <v>41</v>
      </c>
      <c r="L20" s="18" t="s">
        <v>75</v>
      </c>
      <c r="M20" s="21"/>
    </row>
    <row r="21" customFormat="false" ht="48" hidden="false" customHeight="true" outlineLevel="0" collapsed="false">
      <c r="A21" s="13" t="s">
        <v>132</v>
      </c>
      <c r="B21" s="14" t="s">
        <v>4</v>
      </c>
      <c r="C21" s="15" t="s">
        <v>133</v>
      </c>
      <c r="D21" s="15" t="s">
        <v>134</v>
      </c>
      <c r="E21" s="13" t="s">
        <v>135</v>
      </c>
      <c r="F21" s="13" t="s">
        <v>65</v>
      </c>
      <c r="G21" s="16" t="n">
        <v>46294</v>
      </c>
      <c r="H21" s="17" t="n">
        <f aca="false">G21-Overview!$B$3</f>
        <v>16</v>
      </c>
      <c r="I21" s="15" t="s">
        <v>101</v>
      </c>
      <c r="J21" s="15" t="s">
        <v>136</v>
      </c>
      <c r="K21" s="15" t="s">
        <v>74</v>
      </c>
      <c r="L21" s="18" t="s">
        <v>42</v>
      </c>
      <c r="M21" s="15" t="s">
        <v>137</v>
      </c>
    </row>
    <row r="22" customFormat="false" ht="48" hidden="false" customHeight="true" outlineLevel="0" collapsed="false">
      <c r="A22" s="19" t="s">
        <v>138</v>
      </c>
      <c r="B22" s="14" t="s">
        <v>4</v>
      </c>
      <c r="C22" s="21" t="s">
        <v>98</v>
      </c>
      <c r="D22" s="21" t="s">
        <v>139</v>
      </c>
      <c r="E22" s="19" t="s">
        <v>140</v>
      </c>
      <c r="F22" s="19" t="s">
        <v>65</v>
      </c>
      <c r="G22" s="22" t="n">
        <v>46296</v>
      </c>
      <c r="H22" s="23" t="n">
        <f aca="false">G22-Overview!$B$3</f>
        <v>18</v>
      </c>
      <c r="I22" s="21" t="s">
        <v>141</v>
      </c>
      <c r="J22" s="21" t="s">
        <v>142</v>
      </c>
      <c r="K22" s="21" t="s">
        <v>74</v>
      </c>
      <c r="L22" s="18" t="s">
        <v>75</v>
      </c>
      <c r="M22" s="21" t="s">
        <v>143</v>
      </c>
    </row>
    <row r="23" customFormat="false" ht="48" hidden="false" customHeight="true" outlineLevel="0" collapsed="false">
      <c r="A23" s="13" t="s">
        <v>144</v>
      </c>
      <c r="B23" s="14" t="s">
        <v>4</v>
      </c>
      <c r="C23" s="15" t="s">
        <v>145</v>
      </c>
      <c r="D23" s="15" t="s">
        <v>146</v>
      </c>
      <c r="E23" s="13" t="s">
        <v>147</v>
      </c>
      <c r="F23" s="13" t="s">
        <v>65</v>
      </c>
      <c r="G23" s="16" t="n">
        <v>46296</v>
      </c>
      <c r="H23" s="17" t="n">
        <f aca="false">G23-Overview!$B$3</f>
        <v>18</v>
      </c>
      <c r="I23" s="15" t="s">
        <v>148</v>
      </c>
      <c r="J23" s="15" t="s">
        <v>149</v>
      </c>
      <c r="K23" s="15" t="s">
        <v>74</v>
      </c>
      <c r="L23" s="18" t="s">
        <v>75</v>
      </c>
      <c r="M23" s="15"/>
    </row>
    <row r="24" customFormat="false" ht="48" hidden="false" customHeight="true" outlineLevel="0" collapsed="false">
      <c r="A24" s="19" t="s">
        <v>150</v>
      </c>
      <c r="B24" s="14" t="s">
        <v>4</v>
      </c>
      <c r="C24" s="21" t="s">
        <v>151</v>
      </c>
      <c r="D24" s="21" t="s">
        <v>152</v>
      </c>
      <c r="E24" s="19" t="s">
        <v>153</v>
      </c>
      <c r="F24" s="19" t="s">
        <v>58</v>
      </c>
      <c r="G24" s="22" t="n">
        <v>46297</v>
      </c>
      <c r="H24" s="23" t="n">
        <f aca="false">G24-Overview!$B$3</f>
        <v>19</v>
      </c>
      <c r="I24" s="21" t="s">
        <v>154</v>
      </c>
      <c r="J24" s="21" t="s">
        <v>155</v>
      </c>
      <c r="K24" s="21" t="s">
        <v>156</v>
      </c>
      <c r="L24" s="18" t="s">
        <v>75</v>
      </c>
      <c r="M24" s="21" t="s">
        <v>157</v>
      </c>
    </row>
    <row r="25" customFormat="false" ht="48" hidden="false" customHeight="true" outlineLevel="0" collapsed="false">
      <c r="A25" s="13" t="s">
        <v>158</v>
      </c>
      <c r="B25" s="20" t="s">
        <v>45</v>
      </c>
      <c r="C25" s="15" t="s">
        <v>46</v>
      </c>
      <c r="D25" s="15" t="s">
        <v>159</v>
      </c>
      <c r="E25" s="13" t="s">
        <v>94</v>
      </c>
      <c r="F25" s="13" t="s">
        <v>65</v>
      </c>
      <c r="G25" s="16" t="n">
        <v>46298</v>
      </c>
      <c r="H25" s="17" t="n">
        <f aca="false">G25-Overview!$B$3</f>
        <v>20</v>
      </c>
      <c r="I25" s="15" t="s">
        <v>160</v>
      </c>
      <c r="J25" s="15" t="s">
        <v>161</v>
      </c>
      <c r="K25" s="15" t="s">
        <v>41</v>
      </c>
      <c r="L25" s="18" t="s">
        <v>52</v>
      </c>
      <c r="M25" s="15" t="s">
        <v>53</v>
      </c>
    </row>
    <row r="26" customFormat="false" ht="48" hidden="false" customHeight="true" outlineLevel="0" collapsed="false">
      <c r="A26" s="19" t="s">
        <v>162</v>
      </c>
      <c r="B26" s="20" t="s">
        <v>45</v>
      </c>
      <c r="C26" s="21" t="s">
        <v>163</v>
      </c>
      <c r="D26" s="21" t="s">
        <v>164</v>
      </c>
      <c r="E26" s="19" t="s">
        <v>94</v>
      </c>
      <c r="F26" s="19" t="s">
        <v>49</v>
      </c>
      <c r="G26" s="22" t="n">
        <v>46300</v>
      </c>
      <c r="H26" s="23" t="n">
        <f aca="false">G26-Overview!$B$3</f>
        <v>22</v>
      </c>
      <c r="I26" s="21" t="s">
        <v>165</v>
      </c>
      <c r="J26" s="21" t="s">
        <v>166</v>
      </c>
      <c r="K26" s="21" t="s">
        <v>41</v>
      </c>
      <c r="L26" s="18" t="s">
        <v>52</v>
      </c>
      <c r="M26" s="21" t="s">
        <v>53</v>
      </c>
    </row>
    <row r="27" customFormat="false" ht="48" hidden="false" customHeight="true" outlineLevel="0" collapsed="false">
      <c r="A27" s="13" t="s">
        <v>167</v>
      </c>
      <c r="B27" s="20" t="s">
        <v>45</v>
      </c>
      <c r="C27" s="15" t="s">
        <v>168</v>
      </c>
      <c r="D27" s="15" t="s">
        <v>169</v>
      </c>
      <c r="E27" s="13" t="s">
        <v>48</v>
      </c>
      <c r="F27" s="13" t="s">
        <v>49</v>
      </c>
      <c r="G27" s="16" t="n">
        <v>46300</v>
      </c>
      <c r="H27" s="17" t="n">
        <f aca="false">G27-Overview!$B$3</f>
        <v>22</v>
      </c>
      <c r="I27" s="15" t="s">
        <v>165</v>
      </c>
      <c r="J27" s="15" t="s">
        <v>170</v>
      </c>
      <c r="K27" s="15" t="s">
        <v>41</v>
      </c>
      <c r="L27" s="18" t="s">
        <v>52</v>
      </c>
      <c r="M27" s="15" t="s">
        <v>53</v>
      </c>
    </row>
    <row r="28" customFormat="false" ht="48" hidden="false" customHeight="true" outlineLevel="0" collapsed="false">
      <c r="A28" s="19" t="s">
        <v>171</v>
      </c>
      <c r="B28" s="14" t="s">
        <v>4</v>
      </c>
      <c r="C28" s="21" t="s">
        <v>98</v>
      </c>
      <c r="D28" s="21" t="s">
        <v>172</v>
      </c>
      <c r="E28" s="19" t="s">
        <v>173</v>
      </c>
      <c r="F28" s="19" t="s">
        <v>65</v>
      </c>
      <c r="G28" s="22" t="n">
        <v>46301</v>
      </c>
      <c r="H28" s="23" t="n">
        <f aca="false">G28-Overview!$B$3</f>
        <v>23</v>
      </c>
      <c r="I28" s="21" t="s">
        <v>174</v>
      </c>
      <c r="J28" s="21" t="s">
        <v>175</v>
      </c>
      <c r="K28" s="21" t="s">
        <v>74</v>
      </c>
      <c r="L28" s="18" t="s">
        <v>75</v>
      </c>
      <c r="M28" s="21" t="s">
        <v>176</v>
      </c>
    </row>
    <row r="29" customFormat="false" ht="48" hidden="false" customHeight="true" outlineLevel="0" collapsed="false">
      <c r="A29" s="13" t="s">
        <v>177</v>
      </c>
      <c r="B29" s="14" t="s">
        <v>4</v>
      </c>
      <c r="C29" s="15" t="s">
        <v>69</v>
      </c>
      <c r="D29" s="15" t="s">
        <v>178</v>
      </c>
      <c r="E29" s="13" t="s">
        <v>179</v>
      </c>
      <c r="F29" s="13" t="s">
        <v>180</v>
      </c>
      <c r="G29" s="16" t="n">
        <v>46301</v>
      </c>
      <c r="H29" s="17" t="n">
        <f aca="false">G29-Overview!$B$3</f>
        <v>23</v>
      </c>
      <c r="I29" s="15" t="s">
        <v>174</v>
      </c>
      <c r="J29" s="15" t="s">
        <v>181</v>
      </c>
      <c r="K29" s="15" t="s">
        <v>156</v>
      </c>
      <c r="L29" s="18" t="s">
        <v>75</v>
      </c>
      <c r="M29" s="15" t="s">
        <v>182</v>
      </c>
    </row>
    <row r="30" customFormat="false" ht="48" hidden="false" customHeight="true" outlineLevel="0" collapsed="false">
      <c r="A30" s="19" t="s">
        <v>183</v>
      </c>
      <c r="B30" s="14" t="s">
        <v>4</v>
      </c>
      <c r="C30" s="21" t="s">
        <v>69</v>
      </c>
      <c r="D30" s="21" t="s">
        <v>184</v>
      </c>
      <c r="E30" s="19" t="s">
        <v>185</v>
      </c>
      <c r="F30" s="19" t="s">
        <v>180</v>
      </c>
      <c r="G30" s="22" t="n">
        <v>46301</v>
      </c>
      <c r="H30" s="23" t="n">
        <f aca="false">G30-Overview!$B$3</f>
        <v>23</v>
      </c>
      <c r="I30" s="21" t="s">
        <v>174</v>
      </c>
      <c r="J30" s="21" t="s">
        <v>186</v>
      </c>
      <c r="K30" s="21" t="s">
        <v>156</v>
      </c>
      <c r="L30" s="18" t="s">
        <v>187</v>
      </c>
      <c r="M30" s="21" t="s">
        <v>182</v>
      </c>
    </row>
    <row r="31" customFormat="false" ht="48" hidden="false" customHeight="true" outlineLevel="0" collapsed="false">
      <c r="A31" s="13" t="s">
        <v>188</v>
      </c>
      <c r="B31" s="14" t="s">
        <v>4</v>
      </c>
      <c r="C31" s="15" t="s">
        <v>69</v>
      </c>
      <c r="D31" s="15" t="s">
        <v>189</v>
      </c>
      <c r="E31" s="13" t="s">
        <v>190</v>
      </c>
      <c r="F31" s="13" t="s">
        <v>180</v>
      </c>
      <c r="G31" s="16" t="n">
        <v>46301</v>
      </c>
      <c r="H31" s="17" t="n">
        <f aca="false">G31-Overview!$B$3</f>
        <v>23</v>
      </c>
      <c r="I31" s="15" t="s">
        <v>174</v>
      </c>
      <c r="J31" s="15" t="s">
        <v>191</v>
      </c>
      <c r="K31" s="15" t="s">
        <v>156</v>
      </c>
      <c r="L31" s="18" t="s">
        <v>75</v>
      </c>
      <c r="M31" s="15" t="s">
        <v>192</v>
      </c>
    </row>
    <row r="32" customFormat="false" ht="48" hidden="false" customHeight="true" outlineLevel="0" collapsed="false">
      <c r="A32" s="19" t="s">
        <v>193</v>
      </c>
      <c r="B32" s="14" t="s">
        <v>4</v>
      </c>
      <c r="C32" s="21" t="s">
        <v>69</v>
      </c>
      <c r="D32" s="21" t="s">
        <v>194</v>
      </c>
      <c r="E32" s="19" t="s">
        <v>195</v>
      </c>
      <c r="F32" s="19" t="s">
        <v>180</v>
      </c>
      <c r="G32" s="22" t="n">
        <v>46301</v>
      </c>
      <c r="H32" s="23" t="n">
        <f aca="false">G32-Overview!$B$3</f>
        <v>23</v>
      </c>
      <c r="I32" s="21" t="s">
        <v>174</v>
      </c>
      <c r="J32" s="21" t="s">
        <v>196</v>
      </c>
      <c r="K32" s="21" t="s">
        <v>156</v>
      </c>
      <c r="L32" s="18" t="s">
        <v>75</v>
      </c>
      <c r="M32" s="21" t="s">
        <v>182</v>
      </c>
    </row>
    <row r="33" customFormat="false" ht="48" hidden="false" customHeight="true" outlineLevel="0" collapsed="false">
      <c r="A33" s="13" t="s">
        <v>197</v>
      </c>
      <c r="B33" s="14" t="s">
        <v>4</v>
      </c>
      <c r="C33" s="15" t="s">
        <v>69</v>
      </c>
      <c r="D33" s="15" t="s">
        <v>198</v>
      </c>
      <c r="E33" s="13" t="s">
        <v>199</v>
      </c>
      <c r="F33" s="13" t="s">
        <v>180</v>
      </c>
      <c r="G33" s="16" t="n">
        <v>46301</v>
      </c>
      <c r="H33" s="17" t="n">
        <f aca="false">G33-Overview!$B$3</f>
        <v>23</v>
      </c>
      <c r="I33" s="15" t="s">
        <v>174</v>
      </c>
      <c r="J33" s="15" t="s">
        <v>200</v>
      </c>
      <c r="K33" s="15" t="s">
        <v>156</v>
      </c>
      <c r="L33" s="18" t="s">
        <v>75</v>
      </c>
      <c r="M33" s="15" t="s">
        <v>182</v>
      </c>
    </row>
    <row r="34" customFormat="false" ht="48" hidden="false" customHeight="true" outlineLevel="0" collapsed="false">
      <c r="A34" s="19" t="s">
        <v>201</v>
      </c>
      <c r="B34" s="14" t="s">
        <v>4</v>
      </c>
      <c r="C34" s="21" t="s">
        <v>202</v>
      </c>
      <c r="D34" s="21" t="s">
        <v>203</v>
      </c>
      <c r="E34" s="19" t="s">
        <v>204</v>
      </c>
      <c r="F34" s="19" t="s">
        <v>58</v>
      </c>
      <c r="G34" s="22" t="n">
        <v>46301</v>
      </c>
      <c r="H34" s="23" t="n">
        <f aca="false">G34-Overview!$B$3</f>
        <v>23</v>
      </c>
      <c r="I34" s="21" t="s">
        <v>174</v>
      </c>
      <c r="J34" s="21" t="s">
        <v>205</v>
      </c>
      <c r="K34" s="21" t="s">
        <v>74</v>
      </c>
      <c r="L34" s="18" t="s">
        <v>61</v>
      </c>
      <c r="M34" s="21" t="s">
        <v>206</v>
      </c>
    </row>
    <row r="35" customFormat="false" ht="48" hidden="false" customHeight="true" outlineLevel="0" collapsed="false">
      <c r="A35" s="13" t="s">
        <v>207</v>
      </c>
      <c r="B35" s="14" t="s">
        <v>4</v>
      </c>
      <c r="C35" s="15" t="s">
        <v>202</v>
      </c>
      <c r="D35" s="15" t="s">
        <v>208</v>
      </c>
      <c r="E35" s="13" t="s">
        <v>209</v>
      </c>
      <c r="F35" s="13" t="s">
        <v>58</v>
      </c>
      <c r="G35" s="16" t="n">
        <v>46301</v>
      </c>
      <c r="H35" s="17" t="n">
        <f aca="false">G35-Overview!$B$3</f>
        <v>23</v>
      </c>
      <c r="I35" s="15" t="s">
        <v>174</v>
      </c>
      <c r="J35" s="15" t="s">
        <v>210</v>
      </c>
      <c r="K35" s="15" t="s">
        <v>74</v>
      </c>
      <c r="L35" s="18" t="s">
        <v>61</v>
      </c>
      <c r="M35" s="15" t="s">
        <v>206</v>
      </c>
    </row>
    <row r="36" customFormat="false" ht="48" hidden="false" customHeight="true" outlineLevel="0" collapsed="false">
      <c r="A36" s="19" t="s">
        <v>211</v>
      </c>
      <c r="B36" s="14" t="s">
        <v>4</v>
      </c>
      <c r="C36" s="21" t="s">
        <v>202</v>
      </c>
      <c r="D36" s="21" t="s">
        <v>212</v>
      </c>
      <c r="E36" s="19" t="s">
        <v>213</v>
      </c>
      <c r="F36" s="19" t="s">
        <v>58</v>
      </c>
      <c r="G36" s="22" t="n">
        <v>46301</v>
      </c>
      <c r="H36" s="23" t="n">
        <f aca="false">G36-Overview!$B$3</f>
        <v>23</v>
      </c>
      <c r="I36" s="21" t="s">
        <v>174</v>
      </c>
      <c r="J36" s="21" t="s">
        <v>214</v>
      </c>
      <c r="K36" s="21" t="s">
        <v>74</v>
      </c>
      <c r="L36" s="18" t="s">
        <v>61</v>
      </c>
      <c r="M36" s="21" t="s">
        <v>206</v>
      </c>
    </row>
    <row r="37" customFormat="false" ht="48" hidden="false" customHeight="true" outlineLevel="0" collapsed="false">
      <c r="A37" s="13" t="s">
        <v>215</v>
      </c>
      <c r="B37" s="14" t="s">
        <v>4</v>
      </c>
      <c r="C37" s="15" t="s">
        <v>202</v>
      </c>
      <c r="D37" s="15" t="s">
        <v>216</v>
      </c>
      <c r="E37" s="13" t="s">
        <v>217</v>
      </c>
      <c r="F37" s="13" t="s">
        <v>58</v>
      </c>
      <c r="G37" s="16" t="n">
        <v>46301</v>
      </c>
      <c r="H37" s="17" t="n">
        <f aca="false">G37-Overview!$B$3</f>
        <v>23</v>
      </c>
      <c r="I37" s="15" t="s">
        <v>174</v>
      </c>
      <c r="J37" s="15" t="s">
        <v>218</v>
      </c>
      <c r="K37" s="15" t="s">
        <v>74</v>
      </c>
      <c r="L37" s="18" t="s">
        <v>61</v>
      </c>
      <c r="M37" s="15" t="s">
        <v>206</v>
      </c>
    </row>
    <row r="38" customFormat="false" ht="48" hidden="false" customHeight="true" outlineLevel="0" collapsed="false">
      <c r="A38" s="19" t="s">
        <v>219</v>
      </c>
      <c r="B38" s="20" t="s">
        <v>45</v>
      </c>
      <c r="C38" s="21" t="s">
        <v>220</v>
      </c>
      <c r="D38" s="21" t="s">
        <v>221</v>
      </c>
      <c r="E38" s="19" t="s">
        <v>222</v>
      </c>
      <c r="F38" s="19" t="s">
        <v>58</v>
      </c>
      <c r="G38" s="22" t="n">
        <v>46302</v>
      </c>
      <c r="H38" s="23" t="n">
        <f aca="false">G38-Overview!$B$3</f>
        <v>24</v>
      </c>
      <c r="I38" s="21" t="s">
        <v>223</v>
      </c>
      <c r="J38" s="21" t="s">
        <v>224</v>
      </c>
      <c r="K38" s="21" t="s">
        <v>41</v>
      </c>
      <c r="L38" s="18" t="s">
        <v>52</v>
      </c>
      <c r="M38" s="21" t="s">
        <v>53</v>
      </c>
    </row>
    <row r="39" customFormat="false" ht="48" hidden="false" customHeight="true" outlineLevel="0" collapsed="false">
      <c r="A39" s="13" t="s">
        <v>225</v>
      </c>
      <c r="B39" s="14" t="s">
        <v>4</v>
      </c>
      <c r="C39" s="15" t="s">
        <v>98</v>
      </c>
      <c r="D39" s="15" t="s">
        <v>226</v>
      </c>
      <c r="E39" s="13" t="s">
        <v>227</v>
      </c>
      <c r="F39" s="13" t="s">
        <v>58</v>
      </c>
      <c r="G39" s="16" t="n">
        <v>46303</v>
      </c>
      <c r="H39" s="17" t="n">
        <f aca="false">G39-Overview!$B$3</f>
        <v>25</v>
      </c>
      <c r="I39" s="15" t="s">
        <v>228</v>
      </c>
      <c r="J39" s="15" t="s">
        <v>229</v>
      </c>
      <c r="K39" s="15" t="s">
        <v>74</v>
      </c>
      <c r="L39" s="18" t="s">
        <v>75</v>
      </c>
      <c r="M39" s="15" t="s">
        <v>143</v>
      </c>
    </row>
    <row r="40" customFormat="false" ht="48" hidden="false" customHeight="true" outlineLevel="0" collapsed="false">
      <c r="A40" s="19" t="s">
        <v>230</v>
      </c>
      <c r="B40" s="20" t="s">
        <v>45</v>
      </c>
      <c r="C40" s="21" t="s">
        <v>92</v>
      </c>
      <c r="D40" s="21" t="s">
        <v>231</v>
      </c>
      <c r="E40" s="19" t="s">
        <v>94</v>
      </c>
      <c r="F40" s="19" t="s">
        <v>49</v>
      </c>
      <c r="G40" s="22" t="n">
        <v>46303</v>
      </c>
      <c r="H40" s="23" t="n">
        <f aca="false">G40-Overview!$B$3</f>
        <v>25</v>
      </c>
      <c r="I40" s="21" t="s">
        <v>232</v>
      </c>
      <c r="J40" s="21" t="s">
        <v>233</v>
      </c>
      <c r="K40" s="21" t="s">
        <v>41</v>
      </c>
      <c r="L40" s="18" t="s">
        <v>52</v>
      </c>
      <c r="M40" s="21" t="s">
        <v>53</v>
      </c>
    </row>
    <row r="41" customFormat="false" ht="48" hidden="false" customHeight="true" outlineLevel="0" collapsed="false">
      <c r="A41" s="13" t="s">
        <v>234</v>
      </c>
      <c r="B41" s="20" t="s">
        <v>45</v>
      </c>
      <c r="C41" s="15" t="s">
        <v>92</v>
      </c>
      <c r="D41" s="15" t="s">
        <v>235</v>
      </c>
      <c r="E41" s="13" t="s">
        <v>94</v>
      </c>
      <c r="F41" s="13" t="s">
        <v>65</v>
      </c>
      <c r="G41" s="16" t="n">
        <v>46303</v>
      </c>
      <c r="H41" s="17" t="n">
        <f aca="false">G41-Overview!$B$3</f>
        <v>25</v>
      </c>
      <c r="I41" s="15" t="s">
        <v>232</v>
      </c>
      <c r="J41" s="15" t="s">
        <v>236</v>
      </c>
      <c r="K41" s="15" t="s">
        <v>41</v>
      </c>
      <c r="L41" s="18" t="s">
        <v>52</v>
      </c>
      <c r="M41" s="15" t="s">
        <v>53</v>
      </c>
    </row>
    <row r="42" customFormat="false" ht="48" hidden="false" customHeight="true" outlineLevel="0" collapsed="false">
      <c r="A42" s="19" t="s">
        <v>237</v>
      </c>
      <c r="B42" s="20" t="s">
        <v>45</v>
      </c>
      <c r="C42" s="21" t="s">
        <v>92</v>
      </c>
      <c r="D42" s="21" t="s">
        <v>238</v>
      </c>
      <c r="E42" s="19" t="s">
        <v>94</v>
      </c>
      <c r="F42" s="19" t="s">
        <v>65</v>
      </c>
      <c r="G42" s="22" t="n">
        <v>46303</v>
      </c>
      <c r="H42" s="23" t="n">
        <f aca="false">G42-Overview!$B$3</f>
        <v>25</v>
      </c>
      <c r="I42" s="21" t="s">
        <v>232</v>
      </c>
      <c r="J42" s="21" t="s">
        <v>239</v>
      </c>
      <c r="K42" s="21" t="s">
        <v>41</v>
      </c>
      <c r="L42" s="18" t="s">
        <v>52</v>
      </c>
      <c r="M42" s="21" t="s">
        <v>53</v>
      </c>
    </row>
    <row r="43" customFormat="false" ht="48" hidden="false" customHeight="true" outlineLevel="0" collapsed="false">
      <c r="A43" s="13" t="s">
        <v>240</v>
      </c>
      <c r="B43" s="20" t="s">
        <v>45</v>
      </c>
      <c r="C43" s="15" t="s">
        <v>92</v>
      </c>
      <c r="D43" s="15" t="s">
        <v>241</v>
      </c>
      <c r="E43" s="13" t="s">
        <v>94</v>
      </c>
      <c r="F43" s="13" t="s">
        <v>65</v>
      </c>
      <c r="G43" s="16" t="n">
        <v>46303</v>
      </c>
      <c r="H43" s="17" t="n">
        <f aca="false">G43-Overview!$B$3</f>
        <v>25</v>
      </c>
      <c r="I43" s="15" t="s">
        <v>232</v>
      </c>
      <c r="J43" s="15" t="s">
        <v>242</v>
      </c>
      <c r="K43" s="15" t="s">
        <v>41</v>
      </c>
      <c r="L43" s="18" t="s">
        <v>52</v>
      </c>
      <c r="M43" s="15" t="s">
        <v>53</v>
      </c>
    </row>
    <row r="44" customFormat="false" ht="48" hidden="false" customHeight="true" outlineLevel="0" collapsed="false">
      <c r="A44" s="19" t="s">
        <v>243</v>
      </c>
      <c r="B44" s="20" t="s">
        <v>45</v>
      </c>
      <c r="C44" s="21" t="s">
        <v>92</v>
      </c>
      <c r="D44" s="21" t="s">
        <v>244</v>
      </c>
      <c r="E44" s="19" t="s">
        <v>94</v>
      </c>
      <c r="F44" s="19" t="s">
        <v>65</v>
      </c>
      <c r="G44" s="22" t="n">
        <v>46303</v>
      </c>
      <c r="H44" s="23" t="n">
        <f aca="false">G44-Overview!$B$3</f>
        <v>25</v>
      </c>
      <c r="I44" s="21" t="s">
        <v>232</v>
      </c>
      <c r="J44" s="21" t="s">
        <v>245</v>
      </c>
      <c r="K44" s="21" t="s">
        <v>41</v>
      </c>
      <c r="L44" s="18" t="s">
        <v>52</v>
      </c>
      <c r="M44" s="21" t="s">
        <v>53</v>
      </c>
    </row>
    <row r="45" customFormat="false" ht="48" hidden="false" customHeight="true" outlineLevel="0" collapsed="false">
      <c r="A45" s="13" t="s">
        <v>246</v>
      </c>
      <c r="B45" s="20" t="s">
        <v>45</v>
      </c>
      <c r="C45" s="15" t="s">
        <v>220</v>
      </c>
      <c r="D45" s="15" t="s">
        <v>247</v>
      </c>
      <c r="E45" s="13" t="s">
        <v>222</v>
      </c>
      <c r="F45" s="13" t="s">
        <v>180</v>
      </c>
      <c r="G45" s="16" t="n">
        <v>46304</v>
      </c>
      <c r="H45" s="17" t="n">
        <f aca="false">G45-Overview!$B$3</f>
        <v>26</v>
      </c>
      <c r="I45" s="15" t="s">
        <v>248</v>
      </c>
      <c r="J45" s="15" t="s">
        <v>249</v>
      </c>
      <c r="K45" s="15" t="s">
        <v>156</v>
      </c>
      <c r="L45" s="18" t="s">
        <v>52</v>
      </c>
      <c r="M45" s="15" t="s">
        <v>53</v>
      </c>
    </row>
    <row r="46" customFormat="false" ht="48" hidden="false" customHeight="true" outlineLevel="0" collapsed="false">
      <c r="A46" s="19" t="s">
        <v>250</v>
      </c>
      <c r="B46" s="20" t="s">
        <v>45</v>
      </c>
      <c r="C46" s="21" t="s">
        <v>77</v>
      </c>
      <c r="D46" s="21" t="s">
        <v>251</v>
      </c>
      <c r="E46" s="19" t="s">
        <v>252</v>
      </c>
      <c r="F46" s="19" t="s">
        <v>49</v>
      </c>
      <c r="G46" s="22" t="n">
        <v>46305</v>
      </c>
      <c r="H46" s="23" t="n">
        <f aca="false">G46-Overview!$B$3</f>
        <v>27</v>
      </c>
      <c r="I46" s="21" t="s">
        <v>253</v>
      </c>
      <c r="J46" s="21" t="s">
        <v>254</v>
      </c>
      <c r="K46" s="21" t="s">
        <v>41</v>
      </c>
      <c r="L46" s="18" t="s">
        <v>52</v>
      </c>
      <c r="M46" s="21" t="s">
        <v>53</v>
      </c>
    </row>
    <row r="47" customFormat="false" ht="48" hidden="false" customHeight="true" outlineLevel="0" collapsed="false">
      <c r="A47" s="13" t="s">
        <v>255</v>
      </c>
      <c r="B47" s="20" t="s">
        <v>45</v>
      </c>
      <c r="C47" s="15" t="s">
        <v>220</v>
      </c>
      <c r="D47" s="15" t="s">
        <v>256</v>
      </c>
      <c r="E47" s="13" t="s">
        <v>222</v>
      </c>
      <c r="F47" s="13" t="s">
        <v>257</v>
      </c>
      <c r="G47" s="16" t="n">
        <v>46307</v>
      </c>
      <c r="H47" s="17" t="n">
        <f aca="false">G47-Overview!$B$3</f>
        <v>29</v>
      </c>
      <c r="I47" s="15" t="s">
        <v>258</v>
      </c>
      <c r="J47" s="15" t="s">
        <v>259</v>
      </c>
      <c r="K47" s="15" t="s">
        <v>74</v>
      </c>
      <c r="L47" s="18" t="s">
        <v>52</v>
      </c>
      <c r="M47" s="15" t="s">
        <v>53</v>
      </c>
    </row>
    <row r="48" customFormat="false" ht="48" hidden="false" customHeight="true" outlineLevel="0" collapsed="false">
      <c r="A48" s="19" t="s">
        <v>260</v>
      </c>
      <c r="B48" s="14" t="s">
        <v>4</v>
      </c>
      <c r="C48" s="21" t="s">
        <v>261</v>
      </c>
      <c r="D48" s="21" t="s">
        <v>262</v>
      </c>
      <c r="E48" s="19" t="s">
        <v>263</v>
      </c>
      <c r="F48" s="19" t="s">
        <v>49</v>
      </c>
      <c r="G48" s="22" t="n">
        <v>46308</v>
      </c>
      <c r="H48" s="23" t="n">
        <f aca="false">G48-Overview!$B$3</f>
        <v>30</v>
      </c>
      <c r="I48" s="21" t="s">
        <v>264</v>
      </c>
      <c r="J48" s="21" t="s">
        <v>265</v>
      </c>
      <c r="K48" s="21" t="s">
        <v>74</v>
      </c>
      <c r="L48" s="18" t="s">
        <v>75</v>
      </c>
      <c r="M48" s="21" t="s">
        <v>266</v>
      </c>
    </row>
    <row r="49" customFormat="false" ht="48" hidden="false" customHeight="true" outlineLevel="0" collapsed="false">
      <c r="A49" s="13" t="s">
        <v>267</v>
      </c>
      <c r="B49" s="14" t="s">
        <v>4</v>
      </c>
      <c r="C49" s="15" t="s">
        <v>268</v>
      </c>
      <c r="D49" s="15" t="s">
        <v>269</v>
      </c>
      <c r="E49" s="13" t="s">
        <v>270</v>
      </c>
      <c r="F49" s="13" t="s">
        <v>58</v>
      </c>
      <c r="G49" s="24"/>
      <c r="H49" s="13"/>
      <c r="I49" s="15" t="s">
        <v>271</v>
      </c>
      <c r="J49" s="15" t="s">
        <v>272</v>
      </c>
      <c r="K49" s="15" t="s">
        <v>74</v>
      </c>
      <c r="L49" s="18" t="s">
        <v>42</v>
      </c>
      <c r="M49" s="15" t="s">
        <v>273</v>
      </c>
    </row>
    <row r="50" customFormat="false" ht="48" hidden="false" customHeight="true" outlineLevel="0" collapsed="false">
      <c r="A50" s="19" t="s">
        <v>274</v>
      </c>
      <c r="B50" s="14" t="s">
        <v>4</v>
      </c>
      <c r="C50" s="21" t="s">
        <v>268</v>
      </c>
      <c r="D50" s="21" t="s">
        <v>275</v>
      </c>
      <c r="E50" s="19" t="s">
        <v>270</v>
      </c>
      <c r="F50" s="19" t="s">
        <v>65</v>
      </c>
      <c r="G50" s="24"/>
      <c r="H50" s="19"/>
      <c r="I50" s="21" t="s">
        <v>271</v>
      </c>
      <c r="J50" s="21" t="s">
        <v>276</v>
      </c>
      <c r="K50" s="21" t="s">
        <v>74</v>
      </c>
      <c r="L50" s="18" t="s">
        <v>42</v>
      </c>
      <c r="M50" s="21" t="s">
        <v>273</v>
      </c>
    </row>
    <row r="51" customFormat="false" ht="48" hidden="false" customHeight="true" outlineLevel="0" collapsed="false">
      <c r="A51" s="13" t="s">
        <v>277</v>
      </c>
      <c r="B51" s="25" t="s">
        <v>6</v>
      </c>
      <c r="C51" s="15" t="s">
        <v>278</v>
      </c>
      <c r="D51" s="15" t="s">
        <v>279</v>
      </c>
      <c r="E51" s="13" t="s">
        <v>280</v>
      </c>
      <c r="F51" s="13" t="s">
        <v>49</v>
      </c>
      <c r="G51" s="24"/>
      <c r="H51" s="13"/>
      <c r="I51" s="15" t="s">
        <v>281</v>
      </c>
      <c r="J51" s="15" t="s">
        <v>282</v>
      </c>
      <c r="K51" s="15" t="s">
        <v>41</v>
      </c>
      <c r="L51" s="18" t="s">
        <v>283</v>
      </c>
      <c r="M51" s="15" t="s">
        <v>284</v>
      </c>
    </row>
  </sheetData>
  <autoFilter ref="A4:M51"/>
  <mergeCells count="2">
    <mergeCell ref="A1:M1"/>
    <mergeCell ref="A2:M2"/>
  </mergeCells>
  <conditionalFormatting sqref="H5:H51">
    <cfRule type="cellIs" priority="2" operator="lessThanOrEqual" aboveAverage="0" equalAverage="0" bottom="0" percent="0" rank="0" text="" dxfId="10">
      <formula>7</formula>
    </cfRule>
    <cfRule type="cellIs" priority="3" operator="between" aboveAverage="0" equalAverage="0" bottom="0" percent="0" rank="0" text="" dxfId="11">
      <formula>8</formula>
      <formula>21</formula>
    </cfRule>
  </conditionalFormatting>
  <hyperlinks>
    <hyperlink ref="L5" r:id="rId2" display="Official DPI notice"/>
    <hyperlink ref="L6" r:id="rId3" display="Local Content Register"/>
    <hyperlink ref="L7" r:id="rId4" display="Official CHPA notice"/>
    <hyperlink ref="L8" r:id="rId5" display="Local Content Register"/>
    <hyperlink ref="L9" r:id="rId6" display="Official eProcure notice"/>
    <hyperlink ref="L10" r:id="rId7" display="Local Content Register"/>
    <hyperlink ref="L11" r:id="rId8" display="Local Content Register"/>
    <hyperlink ref="L12" r:id="rId9" display="Local Content Register"/>
    <hyperlink ref="L13" r:id="rId10" display="Local Content Register"/>
    <hyperlink ref="L14" r:id="rId11" display="Official GPL notice"/>
    <hyperlink ref="L15" r:id="rId12" display="Official eProcure notice"/>
    <hyperlink ref="L16" r:id="rId13" display="Official eProcure notice"/>
    <hyperlink ref="L17" r:id="rId14" display="Official eProcure notice"/>
    <hyperlink ref="L18" r:id="rId15" display="Official eProcure notice"/>
    <hyperlink ref="L19" r:id="rId16" display="Official eProcure notice"/>
    <hyperlink ref="L20" r:id="rId17" display="Official eProcure notice"/>
    <hyperlink ref="L21" r:id="rId18" display="Official DPI notice"/>
    <hyperlink ref="L22" r:id="rId19" display="Official eProcure notice"/>
    <hyperlink ref="L23" r:id="rId20" display="Official eProcure notice"/>
    <hyperlink ref="L24" r:id="rId21" display="Official eProcure notice"/>
    <hyperlink ref="L25" r:id="rId22" display="Local Content Register"/>
    <hyperlink ref="L26" r:id="rId23" display="Local Content Register"/>
    <hyperlink ref="L27" r:id="rId24" display="Local Content Register"/>
    <hyperlink ref="L28" r:id="rId25" display="Official eProcure notice"/>
    <hyperlink ref="L29" r:id="rId26" display="Official eProcure notice"/>
    <hyperlink ref="L30" r:id="rId27" display="Official GWI notice"/>
    <hyperlink ref="L31" r:id="rId28" display="Official eProcure notice"/>
    <hyperlink ref="L32" r:id="rId29" display="Official eProcure notice"/>
    <hyperlink ref="L33" r:id="rId30" display="Official eProcure notice"/>
    <hyperlink ref="L34" r:id="rId31" display="Official CHPA notice"/>
    <hyperlink ref="L35" r:id="rId32" display="Official CHPA notice"/>
    <hyperlink ref="L36" r:id="rId33" display="Official CHPA notice"/>
    <hyperlink ref="L37" r:id="rId34" display="Official CHPA notice"/>
    <hyperlink ref="L38" r:id="rId35" display="Local Content Register"/>
    <hyperlink ref="L39" r:id="rId36" display="Official eProcure notice"/>
    <hyperlink ref="L40" r:id="rId37" display="Local Content Register"/>
    <hyperlink ref="L41" r:id="rId38" display="Local Content Register"/>
    <hyperlink ref="L42" r:id="rId39" display="Local Content Register"/>
    <hyperlink ref="L43" r:id="rId40" display="Local Content Register"/>
    <hyperlink ref="L44" r:id="rId41" display="Local Content Register"/>
    <hyperlink ref="L45" r:id="rId42" display="Local Content Register"/>
    <hyperlink ref="L46" r:id="rId43" display="Local Content Register"/>
    <hyperlink ref="L47" r:id="rId44" display="Local Content Register"/>
    <hyperlink ref="L48" r:id="rId45" display="Official eProcure notice"/>
    <hyperlink ref="L49" r:id="rId46" display="Official DPI notice"/>
    <hyperlink ref="L50" r:id="rId47" display="Official DPI notice"/>
    <hyperlink ref="L51" r:id="rId48" display="UNDP procurement notic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&amp;K777777Guyana open orders snapshot | 13 Sep 2026</oddFooter>
  </headerFooter>
  <drawing r:id="rId49"/>
  <legacyDrawing r:id="rId50"/>
  <tableParts>
    <tablePart r:id="rId5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45B8A"/>
    <pageSetUpPr fitToPage="true"/>
  </sheetPr>
  <dimension ref="A1:M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29"/>
    <col collapsed="false" customWidth="true" hidden="false" outlineLevel="0" max="4" min="4" style="0" width="42"/>
    <col collapsed="false" customWidth="true" hidden="false" outlineLevel="0" max="5" min="5" style="0" width="22"/>
    <col collapsed="false" customWidth="true" hidden="false" outlineLevel="0" max="7" min="6" style="0" width="15"/>
    <col collapsed="false" customWidth="true" hidden="false" outlineLevel="0" max="8" min="8" style="0" width="14"/>
    <col collapsed="false" customWidth="true" hidden="false" outlineLevel="0" max="9" min="9" style="0" width="26"/>
    <col collapsed="false" customWidth="true" hidden="false" outlineLevel="0" max="10" min="10" style="0" width="52"/>
    <col collapsed="false" customWidth="true" hidden="false" outlineLevel="0" max="11" min="11" style="0" width="26"/>
    <col collapsed="false" customWidth="true" hidden="false" outlineLevel="0" max="12" min="12" style="0" width="22"/>
    <col collapsed="false" customWidth="true" hidden="false" outlineLevel="0" max="13" min="13" style="0" width="34"/>
  </cols>
  <sheetData>
    <row r="1" customFormat="false" ht="30" hidden="false" customHeight="true" outlineLevel="0" collapsed="false">
      <c r="A1" s="1" t="s">
        <v>4</v>
      </c>
      <c r="B1" s="1"/>
      <c r="C1" s="1"/>
      <c r="D1" s="1"/>
      <c r="E1" s="1"/>
      <c r="F1" s="1"/>
      <c r="G1" s="1"/>
      <c r="H1" s="1"/>
      <c r="I1" s="1"/>
      <c r="J1" s="1"/>
      <c r="K1" s="1"/>
      <c r="L1" s="1"/>
      <c r="M1" s="1"/>
    </row>
    <row r="2" customFormat="false" ht="24" hidden="false" customHeight="true" outlineLevel="0" collapsed="false">
      <c r="A2" s="2" t="s">
        <v>285</v>
      </c>
      <c r="B2" s="2"/>
      <c r="C2" s="2"/>
      <c r="D2" s="2"/>
      <c r="E2" s="2"/>
      <c r="F2" s="2"/>
      <c r="G2" s="2"/>
      <c r="H2" s="2"/>
      <c r="I2" s="2"/>
      <c r="J2" s="2"/>
      <c r="K2" s="2"/>
      <c r="L2" s="2"/>
      <c r="M2" s="2"/>
    </row>
    <row r="4" customFormat="false" ht="33.75" hidden="false" customHeight="true" outlineLevel="0" collapsed="false">
      <c r="A4" s="12" t="s">
        <v>21</v>
      </c>
      <c r="B4" s="12" t="s">
        <v>22</v>
      </c>
      <c r="C4" s="12" t="s">
        <v>23</v>
      </c>
      <c r="D4" s="12" t="s">
        <v>24</v>
      </c>
      <c r="E4" s="12" t="s">
        <v>25</v>
      </c>
      <c r="F4" s="12" t="s">
        <v>26</v>
      </c>
      <c r="G4" s="12" t="s">
        <v>27</v>
      </c>
      <c r="H4" s="12" t="s">
        <v>28</v>
      </c>
      <c r="I4" s="12" t="s">
        <v>29</v>
      </c>
      <c r="J4" s="12" t="s">
        <v>30</v>
      </c>
      <c r="K4" s="12" t="s">
        <v>31</v>
      </c>
      <c r="L4" s="12" t="s">
        <v>32</v>
      </c>
      <c r="M4" s="12" t="s">
        <v>33</v>
      </c>
    </row>
    <row r="5" customFormat="false" ht="48" hidden="false" customHeight="true" outlineLevel="0" collapsed="false">
      <c r="A5" s="13" t="s">
        <v>34</v>
      </c>
      <c r="B5" s="14" t="s">
        <v>4</v>
      </c>
      <c r="C5" s="15" t="s">
        <v>35</v>
      </c>
      <c r="D5" s="15" t="s">
        <v>36</v>
      </c>
      <c r="E5" s="13" t="s">
        <v>37</v>
      </c>
      <c r="F5" s="13" t="s">
        <v>38</v>
      </c>
      <c r="G5" s="16" t="n">
        <v>46280</v>
      </c>
      <c r="H5" s="17" t="n">
        <f aca="false">G5-Overview!$B$3</f>
        <v>2</v>
      </c>
      <c r="I5" s="15" t="s">
        <v>39</v>
      </c>
      <c r="J5" s="15" t="s">
        <v>40</v>
      </c>
      <c r="K5" s="15" t="s">
        <v>41</v>
      </c>
      <c r="L5" s="18" t="s">
        <v>42</v>
      </c>
      <c r="M5" s="15" t="s">
        <v>43</v>
      </c>
    </row>
    <row r="6" customFormat="false" ht="48" hidden="false" customHeight="true" outlineLevel="0" collapsed="false">
      <c r="A6" s="19" t="s">
        <v>54</v>
      </c>
      <c r="B6" s="14" t="s">
        <v>4</v>
      </c>
      <c r="C6" s="21" t="s">
        <v>55</v>
      </c>
      <c r="D6" s="21" t="s">
        <v>56</v>
      </c>
      <c r="E6" s="19" t="s">
        <v>57</v>
      </c>
      <c r="F6" s="19" t="s">
        <v>58</v>
      </c>
      <c r="G6" s="22" t="n">
        <v>46286</v>
      </c>
      <c r="H6" s="23" t="n">
        <f aca="false">G6-Overview!$B$3</f>
        <v>8</v>
      </c>
      <c r="I6" s="21" t="s">
        <v>59</v>
      </c>
      <c r="J6" s="21" t="s">
        <v>60</v>
      </c>
      <c r="K6" s="21" t="s">
        <v>41</v>
      </c>
      <c r="L6" s="18" t="s">
        <v>61</v>
      </c>
      <c r="M6" s="21"/>
    </row>
    <row r="7" customFormat="false" ht="48" hidden="false" customHeight="true" outlineLevel="0" collapsed="false">
      <c r="A7" s="13" t="s">
        <v>68</v>
      </c>
      <c r="B7" s="14" t="s">
        <v>4</v>
      </c>
      <c r="C7" s="15" t="s">
        <v>69</v>
      </c>
      <c r="D7" s="15" t="s">
        <v>70</v>
      </c>
      <c r="E7" s="13" t="s">
        <v>71</v>
      </c>
      <c r="F7" s="13" t="s">
        <v>58</v>
      </c>
      <c r="G7" s="16" t="n">
        <v>46287</v>
      </c>
      <c r="H7" s="17" t="n">
        <f aca="false">G7-Overview!$B$3</f>
        <v>9</v>
      </c>
      <c r="I7" s="15" t="s">
        <v>72</v>
      </c>
      <c r="J7" s="15" t="s">
        <v>73</v>
      </c>
      <c r="K7" s="15" t="s">
        <v>74</v>
      </c>
      <c r="L7" s="18" t="s">
        <v>75</v>
      </c>
      <c r="M7" s="15"/>
    </row>
    <row r="8" customFormat="false" ht="48" hidden="false" customHeight="true" outlineLevel="0" collapsed="false">
      <c r="A8" s="19" t="s">
        <v>97</v>
      </c>
      <c r="B8" s="14" t="s">
        <v>4</v>
      </c>
      <c r="C8" s="21" t="s">
        <v>98</v>
      </c>
      <c r="D8" s="21" t="s">
        <v>99</v>
      </c>
      <c r="E8" s="19" t="s">
        <v>100</v>
      </c>
      <c r="F8" s="19" t="s">
        <v>58</v>
      </c>
      <c r="G8" s="22" t="n">
        <v>46294</v>
      </c>
      <c r="H8" s="23" t="n">
        <f aca="false">G8-Overview!$B$3</f>
        <v>16</v>
      </c>
      <c r="I8" s="21" t="s">
        <v>101</v>
      </c>
      <c r="J8" s="21" t="s">
        <v>102</v>
      </c>
      <c r="K8" s="21" t="s">
        <v>74</v>
      </c>
      <c r="L8" s="18" t="s">
        <v>103</v>
      </c>
      <c r="M8" s="21" t="s">
        <v>104</v>
      </c>
    </row>
    <row r="9" customFormat="false" ht="48" hidden="false" customHeight="true" outlineLevel="0" collapsed="false">
      <c r="A9" s="13" t="s">
        <v>105</v>
      </c>
      <c r="B9" s="14" t="s">
        <v>4</v>
      </c>
      <c r="C9" s="15" t="s">
        <v>69</v>
      </c>
      <c r="D9" s="15" t="s">
        <v>106</v>
      </c>
      <c r="E9" s="13" t="s">
        <v>107</v>
      </c>
      <c r="F9" s="13" t="s">
        <v>108</v>
      </c>
      <c r="G9" s="16" t="n">
        <v>46294</v>
      </c>
      <c r="H9" s="17" t="n">
        <f aca="false">G9-Overview!$B$3</f>
        <v>16</v>
      </c>
      <c r="I9" s="15" t="s">
        <v>109</v>
      </c>
      <c r="J9" s="15" t="s">
        <v>110</v>
      </c>
      <c r="K9" s="15" t="s">
        <v>74</v>
      </c>
      <c r="L9" s="18" t="s">
        <v>75</v>
      </c>
      <c r="M9" s="15"/>
    </row>
    <row r="10" customFormat="false" ht="48" hidden="false" customHeight="true" outlineLevel="0" collapsed="false">
      <c r="A10" s="19" t="s">
        <v>111</v>
      </c>
      <c r="B10" s="14" t="s">
        <v>4</v>
      </c>
      <c r="C10" s="21" t="s">
        <v>69</v>
      </c>
      <c r="D10" s="21" t="s">
        <v>112</v>
      </c>
      <c r="E10" s="19" t="s">
        <v>113</v>
      </c>
      <c r="F10" s="19" t="s">
        <v>58</v>
      </c>
      <c r="G10" s="22" t="n">
        <v>46294</v>
      </c>
      <c r="H10" s="23" t="n">
        <f aca="false">G10-Overview!$B$3</f>
        <v>16</v>
      </c>
      <c r="I10" s="21" t="s">
        <v>109</v>
      </c>
      <c r="J10" s="21" t="s">
        <v>114</v>
      </c>
      <c r="K10" s="21" t="s">
        <v>74</v>
      </c>
      <c r="L10" s="18" t="s">
        <v>75</v>
      </c>
      <c r="M10" s="21"/>
    </row>
    <row r="11" customFormat="false" ht="48" hidden="false" customHeight="true" outlineLevel="0" collapsed="false">
      <c r="A11" s="13" t="s">
        <v>115</v>
      </c>
      <c r="B11" s="14" t="s">
        <v>4</v>
      </c>
      <c r="C11" s="15" t="s">
        <v>69</v>
      </c>
      <c r="D11" s="15" t="s">
        <v>116</v>
      </c>
      <c r="E11" s="13" t="s">
        <v>117</v>
      </c>
      <c r="F11" s="13" t="s">
        <v>58</v>
      </c>
      <c r="G11" s="16" t="n">
        <v>46294</v>
      </c>
      <c r="H11" s="17" t="n">
        <f aca="false">G11-Overview!$B$3</f>
        <v>16</v>
      </c>
      <c r="I11" s="15" t="s">
        <v>109</v>
      </c>
      <c r="J11" s="15" t="s">
        <v>118</v>
      </c>
      <c r="K11" s="15" t="s">
        <v>74</v>
      </c>
      <c r="L11" s="18" t="s">
        <v>75</v>
      </c>
      <c r="M11" s="15"/>
    </row>
    <row r="12" customFormat="false" ht="48" hidden="false" customHeight="true" outlineLevel="0" collapsed="false">
      <c r="A12" s="19" t="s">
        <v>119</v>
      </c>
      <c r="B12" s="14" t="s">
        <v>4</v>
      </c>
      <c r="C12" s="21" t="s">
        <v>69</v>
      </c>
      <c r="D12" s="21" t="s">
        <v>120</v>
      </c>
      <c r="E12" s="19" t="s">
        <v>121</v>
      </c>
      <c r="F12" s="19" t="s">
        <v>58</v>
      </c>
      <c r="G12" s="22" t="n">
        <v>46294</v>
      </c>
      <c r="H12" s="23" t="n">
        <f aca="false">G12-Overview!$B$3</f>
        <v>16</v>
      </c>
      <c r="I12" s="21" t="s">
        <v>109</v>
      </c>
      <c r="J12" s="21" t="s">
        <v>118</v>
      </c>
      <c r="K12" s="21" t="s">
        <v>74</v>
      </c>
      <c r="L12" s="18" t="s">
        <v>75</v>
      </c>
      <c r="M12" s="21"/>
    </row>
    <row r="13" customFormat="false" ht="48" hidden="false" customHeight="true" outlineLevel="0" collapsed="false">
      <c r="A13" s="13" t="s">
        <v>122</v>
      </c>
      <c r="B13" s="14" t="s">
        <v>4</v>
      </c>
      <c r="C13" s="15" t="s">
        <v>69</v>
      </c>
      <c r="D13" s="15" t="s">
        <v>123</v>
      </c>
      <c r="E13" s="13" t="s">
        <v>124</v>
      </c>
      <c r="F13" s="13" t="s">
        <v>108</v>
      </c>
      <c r="G13" s="16" t="n">
        <v>46294</v>
      </c>
      <c r="H13" s="17" t="n">
        <f aca="false">G13-Overview!$B$3</f>
        <v>16</v>
      </c>
      <c r="I13" s="15" t="s">
        <v>109</v>
      </c>
      <c r="J13" s="15" t="s">
        <v>125</v>
      </c>
      <c r="K13" s="15" t="s">
        <v>74</v>
      </c>
      <c r="L13" s="18" t="s">
        <v>75</v>
      </c>
      <c r="M13" s="15"/>
    </row>
    <row r="14" customFormat="false" ht="48" hidden="false" customHeight="true" outlineLevel="0" collapsed="false">
      <c r="A14" s="19" t="s">
        <v>126</v>
      </c>
      <c r="B14" s="14" t="s">
        <v>4</v>
      </c>
      <c r="C14" s="21" t="s">
        <v>127</v>
      </c>
      <c r="D14" s="21" t="s">
        <v>128</v>
      </c>
      <c r="E14" s="19" t="s">
        <v>129</v>
      </c>
      <c r="F14" s="19" t="s">
        <v>38</v>
      </c>
      <c r="G14" s="22" t="n">
        <v>46294</v>
      </c>
      <c r="H14" s="23" t="n">
        <f aca="false">G14-Overview!$B$3</f>
        <v>16</v>
      </c>
      <c r="I14" s="21" t="s">
        <v>130</v>
      </c>
      <c r="J14" s="21" t="s">
        <v>131</v>
      </c>
      <c r="K14" s="21" t="s">
        <v>41</v>
      </c>
      <c r="L14" s="18" t="s">
        <v>75</v>
      </c>
      <c r="M14" s="21"/>
    </row>
    <row r="15" customFormat="false" ht="48" hidden="false" customHeight="true" outlineLevel="0" collapsed="false">
      <c r="A15" s="13" t="s">
        <v>132</v>
      </c>
      <c r="B15" s="14" t="s">
        <v>4</v>
      </c>
      <c r="C15" s="15" t="s">
        <v>133</v>
      </c>
      <c r="D15" s="15" t="s">
        <v>134</v>
      </c>
      <c r="E15" s="13" t="s">
        <v>135</v>
      </c>
      <c r="F15" s="13" t="s">
        <v>65</v>
      </c>
      <c r="G15" s="16" t="n">
        <v>46294</v>
      </c>
      <c r="H15" s="17" t="n">
        <f aca="false">G15-Overview!$B$3</f>
        <v>16</v>
      </c>
      <c r="I15" s="15" t="s">
        <v>101</v>
      </c>
      <c r="J15" s="15" t="s">
        <v>136</v>
      </c>
      <c r="K15" s="15" t="s">
        <v>74</v>
      </c>
      <c r="L15" s="18" t="s">
        <v>42</v>
      </c>
      <c r="M15" s="15" t="s">
        <v>137</v>
      </c>
    </row>
    <row r="16" customFormat="false" ht="48" hidden="false" customHeight="true" outlineLevel="0" collapsed="false">
      <c r="A16" s="19" t="s">
        <v>138</v>
      </c>
      <c r="B16" s="14" t="s">
        <v>4</v>
      </c>
      <c r="C16" s="21" t="s">
        <v>98</v>
      </c>
      <c r="D16" s="21" t="s">
        <v>139</v>
      </c>
      <c r="E16" s="19" t="s">
        <v>140</v>
      </c>
      <c r="F16" s="19" t="s">
        <v>65</v>
      </c>
      <c r="G16" s="22" t="n">
        <v>46296</v>
      </c>
      <c r="H16" s="23" t="n">
        <f aca="false">G16-Overview!$B$3</f>
        <v>18</v>
      </c>
      <c r="I16" s="21" t="s">
        <v>141</v>
      </c>
      <c r="J16" s="21" t="s">
        <v>142</v>
      </c>
      <c r="K16" s="21" t="s">
        <v>74</v>
      </c>
      <c r="L16" s="18" t="s">
        <v>75</v>
      </c>
      <c r="M16" s="21" t="s">
        <v>143</v>
      </c>
    </row>
    <row r="17" customFormat="false" ht="48" hidden="false" customHeight="true" outlineLevel="0" collapsed="false">
      <c r="A17" s="13" t="s">
        <v>144</v>
      </c>
      <c r="B17" s="14" t="s">
        <v>4</v>
      </c>
      <c r="C17" s="15" t="s">
        <v>145</v>
      </c>
      <c r="D17" s="15" t="s">
        <v>146</v>
      </c>
      <c r="E17" s="13" t="s">
        <v>147</v>
      </c>
      <c r="F17" s="13" t="s">
        <v>65</v>
      </c>
      <c r="G17" s="16" t="n">
        <v>46296</v>
      </c>
      <c r="H17" s="17" t="n">
        <f aca="false">G17-Overview!$B$3</f>
        <v>18</v>
      </c>
      <c r="I17" s="15" t="s">
        <v>148</v>
      </c>
      <c r="J17" s="15" t="s">
        <v>149</v>
      </c>
      <c r="K17" s="15" t="s">
        <v>74</v>
      </c>
      <c r="L17" s="18" t="s">
        <v>75</v>
      </c>
      <c r="M17" s="15"/>
    </row>
    <row r="18" customFormat="false" ht="48" hidden="false" customHeight="true" outlineLevel="0" collapsed="false">
      <c r="A18" s="19" t="s">
        <v>150</v>
      </c>
      <c r="B18" s="14" t="s">
        <v>4</v>
      </c>
      <c r="C18" s="21" t="s">
        <v>151</v>
      </c>
      <c r="D18" s="21" t="s">
        <v>152</v>
      </c>
      <c r="E18" s="19" t="s">
        <v>153</v>
      </c>
      <c r="F18" s="19" t="s">
        <v>58</v>
      </c>
      <c r="G18" s="22" t="n">
        <v>46297</v>
      </c>
      <c r="H18" s="23" t="n">
        <f aca="false">G18-Overview!$B$3</f>
        <v>19</v>
      </c>
      <c r="I18" s="21" t="s">
        <v>154</v>
      </c>
      <c r="J18" s="21" t="s">
        <v>155</v>
      </c>
      <c r="K18" s="21" t="s">
        <v>156</v>
      </c>
      <c r="L18" s="18" t="s">
        <v>75</v>
      </c>
      <c r="M18" s="21" t="s">
        <v>157</v>
      </c>
    </row>
    <row r="19" customFormat="false" ht="48" hidden="false" customHeight="true" outlineLevel="0" collapsed="false">
      <c r="A19" s="13" t="s">
        <v>171</v>
      </c>
      <c r="B19" s="14" t="s">
        <v>4</v>
      </c>
      <c r="C19" s="15" t="s">
        <v>98</v>
      </c>
      <c r="D19" s="15" t="s">
        <v>172</v>
      </c>
      <c r="E19" s="13" t="s">
        <v>173</v>
      </c>
      <c r="F19" s="13" t="s">
        <v>65</v>
      </c>
      <c r="G19" s="16" t="n">
        <v>46301</v>
      </c>
      <c r="H19" s="17" t="n">
        <f aca="false">G19-Overview!$B$3</f>
        <v>23</v>
      </c>
      <c r="I19" s="15" t="s">
        <v>174</v>
      </c>
      <c r="J19" s="15" t="s">
        <v>175</v>
      </c>
      <c r="K19" s="15" t="s">
        <v>74</v>
      </c>
      <c r="L19" s="18" t="s">
        <v>75</v>
      </c>
      <c r="M19" s="15" t="s">
        <v>176</v>
      </c>
    </row>
    <row r="20" customFormat="false" ht="48" hidden="false" customHeight="true" outlineLevel="0" collapsed="false">
      <c r="A20" s="19" t="s">
        <v>177</v>
      </c>
      <c r="B20" s="14" t="s">
        <v>4</v>
      </c>
      <c r="C20" s="21" t="s">
        <v>69</v>
      </c>
      <c r="D20" s="21" t="s">
        <v>178</v>
      </c>
      <c r="E20" s="19" t="s">
        <v>179</v>
      </c>
      <c r="F20" s="19" t="s">
        <v>180</v>
      </c>
      <c r="G20" s="22" t="n">
        <v>46301</v>
      </c>
      <c r="H20" s="23" t="n">
        <f aca="false">G20-Overview!$B$3</f>
        <v>23</v>
      </c>
      <c r="I20" s="21" t="s">
        <v>174</v>
      </c>
      <c r="J20" s="21" t="s">
        <v>181</v>
      </c>
      <c r="K20" s="21" t="s">
        <v>156</v>
      </c>
      <c r="L20" s="18" t="s">
        <v>75</v>
      </c>
      <c r="M20" s="21" t="s">
        <v>182</v>
      </c>
    </row>
    <row r="21" customFormat="false" ht="48" hidden="false" customHeight="true" outlineLevel="0" collapsed="false">
      <c r="A21" s="13" t="s">
        <v>183</v>
      </c>
      <c r="B21" s="14" t="s">
        <v>4</v>
      </c>
      <c r="C21" s="15" t="s">
        <v>69</v>
      </c>
      <c r="D21" s="15" t="s">
        <v>184</v>
      </c>
      <c r="E21" s="13" t="s">
        <v>185</v>
      </c>
      <c r="F21" s="13" t="s">
        <v>180</v>
      </c>
      <c r="G21" s="16" t="n">
        <v>46301</v>
      </c>
      <c r="H21" s="17" t="n">
        <f aca="false">G21-Overview!$B$3</f>
        <v>23</v>
      </c>
      <c r="I21" s="15" t="s">
        <v>174</v>
      </c>
      <c r="J21" s="15" t="s">
        <v>186</v>
      </c>
      <c r="K21" s="15" t="s">
        <v>156</v>
      </c>
      <c r="L21" s="18" t="s">
        <v>187</v>
      </c>
      <c r="M21" s="15" t="s">
        <v>182</v>
      </c>
    </row>
    <row r="22" customFormat="false" ht="48" hidden="false" customHeight="true" outlineLevel="0" collapsed="false">
      <c r="A22" s="19" t="s">
        <v>188</v>
      </c>
      <c r="B22" s="14" t="s">
        <v>4</v>
      </c>
      <c r="C22" s="21" t="s">
        <v>69</v>
      </c>
      <c r="D22" s="21" t="s">
        <v>189</v>
      </c>
      <c r="E22" s="19" t="s">
        <v>190</v>
      </c>
      <c r="F22" s="19" t="s">
        <v>180</v>
      </c>
      <c r="G22" s="22" t="n">
        <v>46301</v>
      </c>
      <c r="H22" s="23" t="n">
        <f aca="false">G22-Overview!$B$3</f>
        <v>23</v>
      </c>
      <c r="I22" s="21" t="s">
        <v>174</v>
      </c>
      <c r="J22" s="21" t="s">
        <v>191</v>
      </c>
      <c r="K22" s="21" t="s">
        <v>156</v>
      </c>
      <c r="L22" s="18" t="s">
        <v>75</v>
      </c>
      <c r="M22" s="21" t="s">
        <v>192</v>
      </c>
    </row>
    <row r="23" customFormat="false" ht="48" hidden="false" customHeight="true" outlineLevel="0" collapsed="false">
      <c r="A23" s="13" t="s">
        <v>193</v>
      </c>
      <c r="B23" s="14" t="s">
        <v>4</v>
      </c>
      <c r="C23" s="15" t="s">
        <v>69</v>
      </c>
      <c r="D23" s="15" t="s">
        <v>194</v>
      </c>
      <c r="E23" s="13" t="s">
        <v>195</v>
      </c>
      <c r="F23" s="13" t="s">
        <v>180</v>
      </c>
      <c r="G23" s="16" t="n">
        <v>46301</v>
      </c>
      <c r="H23" s="17" t="n">
        <f aca="false">G23-Overview!$B$3</f>
        <v>23</v>
      </c>
      <c r="I23" s="15" t="s">
        <v>174</v>
      </c>
      <c r="J23" s="15" t="s">
        <v>196</v>
      </c>
      <c r="K23" s="15" t="s">
        <v>156</v>
      </c>
      <c r="L23" s="18" t="s">
        <v>75</v>
      </c>
      <c r="M23" s="15" t="s">
        <v>182</v>
      </c>
    </row>
    <row r="24" customFormat="false" ht="48" hidden="false" customHeight="true" outlineLevel="0" collapsed="false">
      <c r="A24" s="19" t="s">
        <v>197</v>
      </c>
      <c r="B24" s="14" t="s">
        <v>4</v>
      </c>
      <c r="C24" s="21" t="s">
        <v>69</v>
      </c>
      <c r="D24" s="21" t="s">
        <v>198</v>
      </c>
      <c r="E24" s="19" t="s">
        <v>199</v>
      </c>
      <c r="F24" s="19" t="s">
        <v>180</v>
      </c>
      <c r="G24" s="22" t="n">
        <v>46301</v>
      </c>
      <c r="H24" s="23" t="n">
        <f aca="false">G24-Overview!$B$3</f>
        <v>23</v>
      </c>
      <c r="I24" s="21" t="s">
        <v>174</v>
      </c>
      <c r="J24" s="21" t="s">
        <v>200</v>
      </c>
      <c r="K24" s="21" t="s">
        <v>156</v>
      </c>
      <c r="L24" s="18" t="s">
        <v>75</v>
      </c>
      <c r="M24" s="21" t="s">
        <v>182</v>
      </c>
    </row>
    <row r="25" customFormat="false" ht="48" hidden="false" customHeight="true" outlineLevel="0" collapsed="false">
      <c r="A25" s="13" t="s">
        <v>201</v>
      </c>
      <c r="B25" s="14" t="s">
        <v>4</v>
      </c>
      <c r="C25" s="15" t="s">
        <v>202</v>
      </c>
      <c r="D25" s="15" t="s">
        <v>203</v>
      </c>
      <c r="E25" s="13" t="s">
        <v>204</v>
      </c>
      <c r="F25" s="13" t="s">
        <v>58</v>
      </c>
      <c r="G25" s="16" t="n">
        <v>46301</v>
      </c>
      <c r="H25" s="17" t="n">
        <f aca="false">G25-Overview!$B$3</f>
        <v>23</v>
      </c>
      <c r="I25" s="15" t="s">
        <v>174</v>
      </c>
      <c r="J25" s="15" t="s">
        <v>205</v>
      </c>
      <c r="K25" s="15" t="s">
        <v>74</v>
      </c>
      <c r="L25" s="18" t="s">
        <v>61</v>
      </c>
      <c r="M25" s="15" t="s">
        <v>206</v>
      </c>
    </row>
    <row r="26" customFormat="false" ht="48" hidden="false" customHeight="true" outlineLevel="0" collapsed="false">
      <c r="A26" s="19" t="s">
        <v>207</v>
      </c>
      <c r="B26" s="14" t="s">
        <v>4</v>
      </c>
      <c r="C26" s="21" t="s">
        <v>202</v>
      </c>
      <c r="D26" s="21" t="s">
        <v>208</v>
      </c>
      <c r="E26" s="19" t="s">
        <v>209</v>
      </c>
      <c r="F26" s="19" t="s">
        <v>58</v>
      </c>
      <c r="G26" s="22" t="n">
        <v>46301</v>
      </c>
      <c r="H26" s="23" t="n">
        <f aca="false">G26-Overview!$B$3</f>
        <v>23</v>
      </c>
      <c r="I26" s="21" t="s">
        <v>174</v>
      </c>
      <c r="J26" s="21" t="s">
        <v>210</v>
      </c>
      <c r="K26" s="21" t="s">
        <v>74</v>
      </c>
      <c r="L26" s="18" t="s">
        <v>61</v>
      </c>
      <c r="M26" s="21" t="s">
        <v>206</v>
      </c>
    </row>
    <row r="27" customFormat="false" ht="48" hidden="false" customHeight="true" outlineLevel="0" collapsed="false">
      <c r="A27" s="13" t="s">
        <v>211</v>
      </c>
      <c r="B27" s="14" t="s">
        <v>4</v>
      </c>
      <c r="C27" s="15" t="s">
        <v>202</v>
      </c>
      <c r="D27" s="15" t="s">
        <v>212</v>
      </c>
      <c r="E27" s="13" t="s">
        <v>213</v>
      </c>
      <c r="F27" s="13" t="s">
        <v>58</v>
      </c>
      <c r="G27" s="16" t="n">
        <v>46301</v>
      </c>
      <c r="H27" s="17" t="n">
        <f aca="false">G27-Overview!$B$3</f>
        <v>23</v>
      </c>
      <c r="I27" s="15" t="s">
        <v>174</v>
      </c>
      <c r="J27" s="15" t="s">
        <v>214</v>
      </c>
      <c r="K27" s="15" t="s">
        <v>74</v>
      </c>
      <c r="L27" s="18" t="s">
        <v>61</v>
      </c>
      <c r="M27" s="15" t="s">
        <v>206</v>
      </c>
    </row>
    <row r="28" customFormat="false" ht="48" hidden="false" customHeight="true" outlineLevel="0" collapsed="false">
      <c r="A28" s="19" t="s">
        <v>215</v>
      </c>
      <c r="B28" s="14" t="s">
        <v>4</v>
      </c>
      <c r="C28" s="21" t="s">
        <v>202</v>
      </c>
      <c r="D28" s="21" t="s">
        <v>216</v>
      </c>
      <c r="E28" s="19" t="s">
        <v>217</v>
      </c>
      <c r="F28" s="19" t="s">
        <v>58</v>
      </c>
      <c r="G28" s="22" t="n">
        <v>46301</v>
      </c>
      <c r="H28" s="23" t="n">
        <f aca="false">G28-Overview!$B$3</f>
        <v>23</v>
      </c>
      <c r="I28" s="21" t="s">
        <v>174</v>
      </c>
      <c r="J28" s="21" t="s">
        <v>218</v>
      </c>
      <c r="K28" s="21" t="s">
        <v>74</v>
      </c>
      <c r="L28" s="18" t="s">
        <v>61</v>
      </c>
      <c r="M28" s="21" t="s">
        <v>206</v>
      </c>
    </row>
    <row r="29" customFormat="false" ht="48" hidden="false" customHeight="true" outlineLevel="0" collapsed="false">
      <c r="A29" s="13" t="s">
        <v>225</v>
      </c>
      <c r="B29" s="14" t="s">
        <v>4</v>
      </c>
      <c r="C29" s="15" t="s">
        <v>98</v>
      </c>
      <c r="D29" s="15" t="s">
        <v>226</v>
      </c>
      <c r="E29" s="13" t="s">
        <v>227</v>
      </c>
      <c r="F29" s="13" t="s">
        <v>58</v>
      </c>
      <c r="G29" s="16" t="n">
        <v>46303</v>
      </c>
      <c r="H29" s="17" t="n">
        <f aca="false">G29-Overview!$B$3</f>
        <v>25</v>
      </c>
      <c r="I29" s="15" t="s">
        <v>228</v>
      </c>
      <c r="J29" s="15" t="s">
        <v>229</v>
      </c>
      <c r="K29" s="15" t="s">
        <v>74</v>
      </c>
      <c r="L29" s="18" t="s">
        <v>75</v>
      </c>
      <c r="M29" s="15" t="s">
        <v>143</v>
      </c>
    </row>
    <row r="30" customFormat="false" ht="48" hidden="false" customHeight="true" outlineLevel="0" collapsed="false">
      <c r="A30" s="19" t="s">
        <v>260</v>
      </c>
      <c r="B30" s="14" t="s">
        <v>4</v>
      </c>
      <c r="C30" s="21" t="s">
        <v>261</v>
      </c>
      <c r="D30" s="21" t="s">
        <v>262</v>
      </c>
      <c r="E30" s="19" t="s">
        <v>263</v>
      </c>
      <c r="F30" s="19" t="s">
        <v>49</v>
      </c>
      <c r="G30" s="22" t="n">
        <v>46308</v>
      </c>
      <c r="H30" s="23" t="n">
        <f aca="false">G30-Overview!$B$3</f>
        <v>30</v>
      </c>
      <c r="I30" s="21" t="s">
        <v>264</v>
      </c>
      <c r="J30" s="21" t="s">
        <v>265</v>
      </c>
      <c r="K30" s="21" t="s">
        <v>74</v>
      </c>
      <c r="L30" s="18" t="s">
        <v>75</v>
      </c>
      <c r="M30" s="21" t="s">
        <v>266</v>
      </c>
    </row>
    <row r="31" customFormat="false" ht="48" hidden="false" customHeight="true" outlineLevel="0" collapsed="false">
      <c r="A31" s="13" t="s">
        <v>267</v>
      </c>
      <c r="B31" s="14" t="s">
        <v>4</v>
      </c>
      <c r="C31" s="15" t="s">
        <v>268</v>
      </c>
      <c r="D31" s="15" t="s">
        <v>269</v>
      </c>
      <c r="E31" s="13" t="s">
        <v>270</v>
      </c>
      <c r="F31" s="13" t="s">
        <v>58</v>
      </c>
      <c r="G31" s="24"/>
      <c r="H31" s="13"/>
      <c r="I31" s="15" t="s">
        <v>271</v>
      </c>
      <c r="J31" s="15" t="s">
        <v>272</v>
      </c>
      <c r="K31" s="15" t="s">
        <v>74</v>
      </c>
      <c r="L31" s="18" t="s">
        <v>42</v>
      </c>
      <c r="M31" s="15" t="s">
        <v>273</v>
      </c>
    </row>
    <row r="32" customFormat="false" ht="48" hidden="false" customHeight="true" outlineLevel="0" collapsed="false">
      <c r="A32" s="19" t="s">
        <v>274</v>
      </c>
      <c r="B32" s="14" t="s">
        <v>4</v>
      </c>
      <c r="C32" s="21" t="s">
        <v>268</v>
      </c>
      <c r="D32" s="21" t="s">
        <v>275</v>
      </c>
      <c r="E32" s="19" t="s">
        <v>270</v>
      </c>
      <c r="F32" s="19" t="s">
        <v>65</v>
      </c>
      <c r="G32" s="24"/>
      <c r="H32" s="19"/>
      <c r="I32" s="21" t="s">
        <v>271</v>
      </c>
      <c r="J32" s="21" t="s">
        <v>276</v>
      </c>
      <c r="K32" s="21" t="s">
        <v>74</v>
      </c>
      <c r="L32" s="18" t="s">
        <v>42</v>
      </c>
      <c r="M32" s="21" t="s">
        <v>273</v>
      </c>
    </row>
  </sheetData>
  <autoFilter ref="A4:M32"/>
  <mergeCells count="2">
    <mergeCell ref="A1:M1"/>
    <mergeCell ref="A2:M2"/>
  </mergeCells>
  <conditionalFormatting sqref="H5:H32">
    <cfRule type="cellIs" priority="2" operator="lessThanOrEqual" aboveAverage="0" equalAverage="0" bottom="0" percent="0" rank="0" text="" dxfId="10">
      <formula>7</formula>
    </cfRule>
    <cfRule type="cellIs" priority="3" operator="between" aboveAverage="0" equalAverage="0" bottom="0" percent="0" rank="0" text="" dxfId="11">
      <formula>8</formula>
      <formula>21</formula>
    </cfRule>
  </conditionalFormatting>
  <hyperlinks>
    <hyperlink ref="L5" r:id="rId2" display="Official DPI notice"/>
    <hyperlink ref="L6" r:id="rId3" display="Official CHPA notice"/>
    <hyperlink ref="L7" r:id="rId4" display="Official eProcure notice"/>
    <hyperlink ref="L8" r:id="rId5" display="Official GPL notice"/>
    <hyperlink ref="L9" r:id="rId6" display="Official eProcure notice"/>
    <hyperlink ref="L10" r:id="rId7" display="Official eProcure notice"/>
    <hyperlink ref="L11" r:id="rId8" display="Official eProcure notice"/>
    <hyperlink ref="L12" r:id="rId9" display="Official eProcure notice"/>
    <hyperlink ref="L13" r:id="rId10" display="Official eProcure notice"/>
    <hyperlink ref="L14" r:id="rId11" display="Official eProcure notice"/>
    <hyperlink ref="L15" r:id="rId12" display="Official DPI notice"/>
    <hyperlink ref="L16" r:id="rId13" display="Official eProcure notice"/>
    <hyperlink ref="L17" r:id="rId14" display="Official eProcure notice"/>
    <hyperlink ref="L18" r:id="rId15" display="Official eProcure notice"/>
    <hyperlink ref="L19" r:id="rId16" display="Official eProcure notice"/>
    <hyperlink ref="L20" r:id="rId17" display="Official eProcure notice"/>
    <hyperlink ref="L21" r:id="rId18" display="Official GWI notice"/>
    <hyperlink ref="L22" r:id="rId19" display="Official eProcure notice"/>
    <hyperlink ref="L23" r:id="rId20" display="Official eProcure notice"/>
    <hyperlink ref="L24" r:id="rId21" display="Official eProcure notice"/>
    <hyperlink ref="L25" r:id="rId22" display="Official CHPA notice"/>
    <hyperlink ref="L26" r:id="rId23" display="Official CHPA notice"/>
    <hyperlink ref="L27" r:id="rId24" display="Official CHPA notice"/>
    <hyperlink ref="L28" r:id="rId25" display="Official CHPA notice"/>
    <hyperlink ref="L29" r:id="rId26" display="Official eProcure notice"/>
    <hyperlink ref="L30" r:id="rId27" display="Official eProcure notice"/>
    <hyperlink ref="L31" r:id="rId28" display="Official DPI notice"/>
    <hyperlink ref="L32" r:id="rId29" display="Official DPI notic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&amp;K777777Guyana open orders snapshot | 13 Sep 2026</oddFooter>
  </headerFooter>
  <drawing r:id="rId30"/>
  <legacyDrawing r:id="rId31"/>
  <tableParts>
    <tablePart r:id="rId3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C7C78"/>
    <pageSetUpPr fitToPage="true"/>
  </sheetPr>
  <dimension ref="A1:M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29"/>
    <col collapsed="false" customWidth="true" hidden="false" outlineLevel="0" max="4" min="4" style="0" width="42"/>
    <col collapsed="false" customWidth="true" hidden="false" outlineLevel="0" max="5" min="5" style="0" width="22"/>
    <col collapsed="false" customWidth="true" hidden="false" outlineLevel="0" max="7" min="6" style="0" width="15"/>
    <col collapsed="false" customWidth="true" hidden="false" outlineLevel="0" max="8" min="8" style="0" width="14"/>
    <col collapsed="false" customWidth="true" hidden="false" outlineLevel="0" max="9" min="9" style="0" width="26"/>
    <col collapsed="false" customWidth="true" hidden="false" outlineLevel="0" max="10" min="10" style="0" width="52"/>
    <col collapsed="false" customWidth="true" hidden="false" outlineLevel="0" max="11" min="11" style="0" width="26"/>
    <col collapsed="false" customWidth="true" hidden="false" outlineLevel="0" max="12" min="12" style="0" width="22"/>
    <col collapsed="false" customWidth="true" hidden="false" outlineLevel="0" max="13" min="13" style="0" width="34"/>
  </cols>
  <sheetData>
    <row r="1" customFormat="false" ht="30" hidden="false" customHeight="true" outlineLevel="0" collapsed="false">
      <c r="A1" s="1" t="s">
        <v>286</v>
      </c>
      <c r="B1" s="1"/>
      <c r="C1" s="1"/>
      <c r="D1" s="1"/>
      <c r="E1" s="1"/>
      <c r="F1" s="1"/>
      <c r="G1" s="1"/>
      <c r="H1" s="1"/>
      <c r="I1" s="1"/>
      <c r="J1" s="1"/>
      <c r="K1" s="1"/>
      <c r="L1" s="1"/>
      <c r="M1" s="1"/>
    </row>
    <row r="2" customFormat="false" ht="24" hidden="false" customHeight="true" outlineLevel="0" collapsed="false">
      <c r="A2" s="2" t="s">
        <v>287</v>
      </c>
      <c r="B2" s="2"/>
      <c r="C2" s="2"/>
      <c r="D2" s="2"/>
      <c r="E2" s="2"/>
      <c r="F2" s="2"/>
      <c r="G2" s="2"/>
      <c r="H2" s="2"/>
      <c r="I2" s="2"/>
      <c r="J2" s="2"/>
      <c r="K2" s="2"/>
      <c r="L2" s="2"/>
      <c r="M2" s="2"/>
    </row>
    <row r="4" customFormat="false" ht="33.75" hidden="false" customHeight="true" outlineLevel="0" collapsed="false">
      <c r="A4" s="12" t="s">
        <v>21</v>
      </c>
      <c r="B4" s="12" t="s">
        <v>22</v>
      </c>
      <c r="C4" s="12" t="s">
        <v>23</v>
      </c>
      <c r="D4" s="12" t="s">
        <v>24</v>
      </c>
      <c r="E4" s="12" t="s">
        <v>25</v>
      </c>
      <c r="F4" s="12" t="s">
        <v>26</v>
      </c>
      <c r="G4" s="12" t="s">
        <v>27</v>
      </c>
      <c r="H4" s="12" t="s">
        <v>28</v>
      </c>
      <c r="I4" s="12" t="s">
        <v>29</v>
      </c>
      <c r="J4" s="12" t="s">
        <v>30</v>
      </c>
      <c r="K4" s="12" t="s">
        <v>31</v>
      </c>
      <c r="L4" s="12" t="s">
        <v>32</v>
      </c>
      <c r="M4" s="12" t="s">
        <v>33</v>
      </c>
    </row>
    <row r="5" customFormat="false" ht="48" hidden="false" customHeight="true" outlineLevel="0" collapsed="false">
      <c r="A5" s="13" t="s">
        <v>44</v>
      </c>
      <c r="B5" s="20" t="s">
        <v>45</v>
      </c>
      <c r="C5" s="15" t="s">
        <v>46</v>
      </c>
      <c r="D5" s="15" t="s">
        <v>47</v>
      </c>
      <c r="E5" s="13" t="s">
        <v>48</v>
      </c>
      <c r="F5" s="13" t="s">
        <v>49</v>
      </c>
      <c r="G5" s="16" t="n">
        <v>46283</v>
      </c>
      <c r="H5" s="17" t="n">
        <f aca="false">G5-Overview!$B$3</f>
        <v>5</v>
      </c>
      <c r="I5" s="15" t="s">
        <v>50</v>
      </c>
      <c r="J5" s="15" t="s">
        <v>51</v>
      </c>
      <c r="K5" s="15" t="s">
        <v>41</v>
      </c>
      <c r="L5" s="18" t="s">
        <v>52</v>
      </c>
      <c r="M5" s="15" t="s">
        <v>53</v>
      </c>
    </row>
    <row r="6" customFormat="false" ht="48" hidden="false" customHeight="true" outlineLevel="0" collapsed="false">
      <c r="A6" s="19" t="s">
        <v>62</v>
      </c>
      <c r="B6" s="20" t="s">
        <v>45</v>
      </c>
      <c r="C6" s="21" t="s">
        <v>63</v>
      </c>
      <c r="D6" s="21" t="s">
        <v>64</v>
      </c>
      <c r="E6" s="19" t="s">
        <v>48</v>
      </c>
      <c r="F6" s="19" t="s">
        <v>65</v>
      </c>
      <c r="G6" s="22" t="n">
        <v>46286</v>
      </c>
      <c r="H6" s="23" t="n">
        <f aca="false">G6-Overview!$B$3</f>
        <v>8</v>
      </c>
      <c r="I6" s="21" t="s">
        <v>66</v>
      </c>
      <c r="J6" s="21" t="s">
        <v>67</v>
      </c>
      <c r="K6" s="21" t="s">
        <v>41</v>
      </c>
      <c r="L6" s="18" t="s">
        <v>52</v>
      </c>
      <c r="M6" s="21" t="s">
        <v>53</v>
      </c>
    </row>
    <row r="7" customFormat="false" ht="48" hidden="false" customHeight="true" outlineLevel="0" collapsed="false">
      <c r="A7" s="13" t="s">
        <v>76</v>
      </c>
      <c r="B7" s="20" t="s">
        <v>45</v>
      </c>
      <c r="C7" s="15" t="s">
        <v>77</v>
      </c>
      <c r="D7" s="15" t="s">
        <v>78</v>
      </c>
      <c r="E7" s="13" t="s">
        <v>79</v>
      </c>
      <c r="F7" s="13" t="s">
        <v>49</v>
      </c>
      <c r="G7" s="16" t="n">
        <v>46288</v>
      </c>
      <c r="H7" s="17" t="n">
        <f aca="false">G7-Overview!$B$3</f>
        <v>10</v>
      </c>
      <c r="I7" s="15" t="s">
        <v>80</v>
      </c>
      <c r="J7" s="15" t="s">
        <v>81</v>
      </c>
      <c r="K7" s="15" t="s">
        <v>41</v>
      </c>
      <c r="L7" s="18" t="s">
        <v>52</v>
      </c>
      <c r="M7" s="15" t="s">
        <v>53</v>
      </c>
    </row>
    <row r="8" customFormat="false" ht="48" hidden="false" customHeight="true" outlineLevel="0" collapsed="false">
      <c r="A8" s="19" t="s">
        <v>82</v>
      </c>
      <c r="B8" s="20" t="s">
        <v>45</v>
      </c>
      <c r="C8" s="21" t="s">
        <v>83</v>
      </c>
      <c r="D8" s="21" t="s">
        <v>84</v>
      </c>
      <c r="E8" s="19" t="s">
        <v>85</v>
      </c>
      <c r="F8" s="19" t="s">
        <v>49</v>
      </c>
      <c r="G8" s="22" t="n">
        <v>46290</v>
      </c>
      <c r="H8" s="23" t="n">
        <f aca="false">G8-Overview!$B$3</f>
        <v>12</v>
      </c>
      <c r="I8" s="21" t="s">
        <v>86</v>
      </c>
      <c r="J8" s="21" t="s">
        <v>87</v>
      </c>
      <c r="K8" s="21" t="s">
        <v>41</v>
      </c>
      <c r="L8" s="18" t="s">
        <v>52</v>
      </c>
      <c r="M8" s="21" t="s">
        <v>53</v>
      </c>
    </row>
    <row r="9" customFormat="false" ht="48" hidden="false" customHeight="true" outlineLevel="0" collapsed="false">
      <c r="A9" s="13" t="s">
        <v>88</v>
      </c>
      <c r="B9" s="20" t="s">
        <v>45</v>
      </c>
      <c r="C9" s="15" t="s">
        <v>83</v>
      </c>
      <c r="D9" s="15" t="s">
        <v>89</v>
      </c>
      <c r="E9" s="13" t="s">
        <v>85</v>
      </c>
      <c r="F9" s="13" t="s">
        <v>49</v>
      </c>
      <c r="G9" s="16" t="n">
        <v>46290</v>
      </c>
      <c r="H9" s="17" t="n">
        <f aca="false">G9-Overview!$B$3</f>
        <v>12</v>
      </c>
      <c r="I9" s="15" t="s">
        <v>86</v>
      </c>
      <c r="J9" s="15" t="s">
        <v>90</v>
      </c>
      <c r="K9" s="15" t="s">
        <v>41</v>
      </c>
      <c r="L9" s="18" t="s">
        <v>52</v>
      </c>
      <c r="M9" s="15" t="s">
        <v>53</v>
      </c>
    </row>
    <row r="10" customFormat="false" ht="48" hidden="false" customHeight="true" outlineLevel="0" collapsed="false">
      <c r="A10" s="19" t="s">
        <v>91</v>
      </c>
      <c r="B10" s="20" t="s">
        <v>45</v>
      </c>
      <c r="C10" s="21" t="s">
        <v>92</v>
      </c>
      <c r="D10" s="21" t="s">
        <v>93</v>
      </c>
      <c r="E10" s="19" t="s">
        <v>94</v>
      </c>
      <c r="F10" s="19" t="s">
        <v>49</v>
      </c>
      <c r="G10" s="22" t="n">
        <v>46291</v>
      </c>
      <c r="H10" s="23" t="n">
        <f aca="false">G10-Overview!$B$3</f>
        <v>13</v>
      </c>
      <c r="I10" s="21" t="s">
        <v>95</v>
      </c>
      <c r="J10" s="21" t="s">
        <v>96</v>
      </c>
      <c r="K10" s="21" t="s">
        <v>41</v>
      </c>
      <c r="L10" s="18" t="s">
        <v>52</v>
      </c>
      <c r="M10" s="21" t="s">
        <v>53</v>
      </c>
    </row>
    <row r="11" customFormat="false" ht="48" hidden="false" customHeight="true" outlineLevel="0" collapsed="false">
      <c r="A11" s="13" t="s">
        <v>158</v>
      </c>
      <c r="B11" s="20" t="s">
        <v>45</v>
      </c>
      <c r="C11" s="15" t="s">
        <v>46</v>
      </c>
      <c r="D11" s="15" t="s">
        <v>159</v>
      </c>
      <c r="E11" s="13" t="s">
        <v>94</v>
      </c>
      <c r="F11" s="13" t="s">
        <v>65</v>
      </c>
      <c r="G11" s="16" t="n">
        <v>46298</v>
      </c>
      <c r="H11" s="17" t="n">
        <f aca="false">G11-Overview!$B$3</f>
        <v>20</v>
      </c>
      <c r="I11" s="15" t="s">
        <v>160</v>
      </c>
      <c r="J11" s="15" t="s">
        <v>161</v>
      </c>
      <c r="K11" s="15" t="s">
        <v>41</v>
      </c>
      <c r="L11" s="18" t="s">
        <v>52</v>
      </c>
      <c r="M11" s="15" t="s">
        <v>53</v>
      </c>
    </row>
    <row r="12" customFormat="false" ht="48" hidden="false" customHeight="true" outlineLevel="0" collapsed="false">
      <c r="A12" s="19" t="s">
        <v>162</v>
      </c>
      <c r="B12" s="20" t="s">
        <v>45</v>
      </c>
      <c r="C12" s="21" t="s">
        <v>163</v>
      </c>
      <c r="D12" s="21" t="s">
        <v>164</v>
      </c>
      <c r="E12" s="19" t="s">
        <v>94</v>
      </c>
      <c r="F12" s="19" t="s">
        <v>49</v>
      </c>
      <c r="G12" s="22" t="n">
        <v>46300</v>
      </c>
      <c r="H12" s="23" t="n">
        <f aca="false">G12-Overview!$B$3</f>
        <v>22</v>
      </c>
      <c r="I12" s="21" t="s">
        <v>165</v>
      </c>
      <c r="J12" s="21" t="s">
        <v>166</v>
      </c>
      <c r="K12" s="21" t="s">
        <v>41</v>
      </c>
      <c r="L12" s="18" t="s">
        <v>52</v>
      </c>
      <c r="M12" s="21" t="s">
        <v>53</v>
      </c>
    </row>
    <row r="13" customFormat="false" ht="48" hidden="false" customHeight="true" outlineLevel="0" collapsed="false">
      <c r="A13" s="13" t="s">
        <v>167</v>
      </c>
      <c r="B13" s="20" t="s">
        <v>45</v>
      </c>
      <c r="C13" s="15" t="s">
        <v>168</v>
      </c>
      <c r="D13" s="15" t="s">
        <v>169</v>
      </c>
      <c r="E13" s="13" t="s">
        <v>48</v>
      </c>
      <c r="F13" s="13" t="s">
        <v>49</v>
      </c>
      <c r="G13" s="16" t="n">
        <v>46300</v>
      </c>
      <c r="H13" s="17" t="n">
        <f aca="false">G13-Overview!$B$3</f>
        <v>22</v>
      </c>
      <c r="I13" s="15" t="s">
        <v>165</v>
      </c>
      <c r="J13" s="15" t="s">
        <v>170</v>
      </c>
      <c r="K13" s="15" t="s">
        <v>41</v>
      </c>
      <c r="L13" s="18" t="s">
        <v>52</v>
      </c>
      <c r="M13" s="15" t="s">
        <v>53</v>
      </c>
    </row>
    <row r="14" customFormat="false" ht="48" hidden="false" customHeight="true" outlineLevel="0" collapsed="false">
      <c r="A14" s="19" t="s">
        <v>219</v>
      </c>
      <c r="B14" s="20" t="s">
        <v>45</v>
      </c>
      <c r="C14" s="21" t="s">
        <v>220</v>
      </c>
      <c r="D14" s="21" t="s">
        <v>221</v>
      </c>
      <c r="E14" s="19" t="s">
        <v>222</v>
      </c>
      <c r="F14" s="19" t="s">
        <v>58</v>
      </c>
      <c r="G14" s="22" t="n">
        <v>46302</v>
      </c>
      <c r="H14" s="23" t="n">
        <f aca="false">G14-Overview!$B$3</f>
        <v>24</v>
      </c>
      <c r="I14" s="21" t="s">
        <v>223</v>
      </c>
      <c r="J14" s="21" t="s">
        <v>224</v>
      </c>
      <c r="K14" s="21" t="s">
        <v>41</v>
      </c>
      <c r="L14" s="18" t="s">
        <v>52</v>
      </c>
      <c r="M14" s="21" t="s">
        <v>53</v>
      </c>
    </row>
    <row r="15" customFormat="false" ht="48" hidden="false" customHeight="true" outlineLevel="0" collapsed="false">
      <c r="A15" s="13" t="s">
        <v>230</v>
      </c>
      <c r="B15" s="20" t="s">
        <v>45</v>
      </c>
      <c r="C15" s="15" t="s">
        <v>92</v>
      </c>
      <c r="D15" s="15" t="s">
        <v>231</v>
      </c>
      <c r="E15" s="13" t="s">
        <v>94</v>
      </c>
      <c r="F15" s="13" t="s">
        <v>49</v>
      </c>
      <c r="G15" s="16" t="n">
        <v>46303</v>
      </c>
      <c r="H15" s="17" t="n">
        <f aca="false">G15-Overview!$B$3</f>
        <v>25</v>
      </c>
      <c r="I15" s="15" t="s">
        <v>232</v>
      </c>
      <c r="J15" s="15" t="s">
        <v>233</v>
      </c>
      <c r="K15" s="15" t="s">
        <v>41</v>
      </c>
      <c r="L15" s="18" t="s">
        <v>52</v>
      </c>
      <c r="M15" s="15" t="s">
        <v>53</v>
      </c>
    </row>
    <row r="16" customFormat="false" ht="48" hidden="false" customHeight="true" outlineLevel="0" collapsed="false">
      <c r="A16" s="19" t="s">
        <v>234</v>
      </c>
      <c r="B16" s="20" t="s">
        <v>45</v>
      </c>
      <c r="C16" s="21" t="s">
        <v>92</v>
      </c>
      <c r="D16" s="21" t="s">
        <v>235</v>
      </c>
      <c r="E16" s="19" t="s">
        <v>94</v>
      </c>
      <c r="F16" s="19" t="s">
        <v>65</v>
      </c>
      <c r="G16" s="22" t="n">
        <v>46303</v>
      </c>
      <c r="H16" s="23" t="n">
        <f aca="false">G16-Overview!$B$3</f>
        <v>25</v>
      </c>
      <c r="I16" s="21" t="s">
        <v>232</v>
      </c>
      <c r="J16" s="21" t="s">
        <v>236</v>
      </c>
      <c r="K16" s="21" t="s">
        <v>41</v>
      </c>
      <c r="L16" s="18" t="s">
        <v>52</v>
      </c>
      <c r="M16" s="21" t="s">
        <v>53</v>
      </c>
    </row>
    <row r="17" customFormat="false" ht="48" hidden="false" customHeight="true" outlineLevel="0" collapsed="false">
      <c r="A17" s="13" t="s">
        <v>237</v>
      </c>
      <c r="B17" s="20" t="s">
        <v>45</v>
      </c>
      <c r="C17" s="15" t="s">
        <v>92</v>
      </c>
      <c r="D17" s="15" t="s">
        <v>238</v>
      </c>
      <c r="E17" s="13" t="s">
        <v>94</v>
      </c>
      <c r="F17" s="13" t="s">
        <v>65</v>
      </c>
      <c r="G17" s="16" t="n">
        <v>46303</v>
      </c>
      <c r="H17" s="17" t="n">
        <f aca="false">G17-Overview!$B$3</f>
        <v>25</v>
      </c>
      <c r="I17" s="15" t="s">
        <v>232</v>
      </c>
      <c r="J17" s="15" t="s">
        <v>239</v>
      </c>
      <c r="K17" s="15" t="s">
        <v>41</v>
      </c>
      <c r="L17" s="18" t="s">
        <v>52</v>
      </c>
      <c r="M17" s="15" t="s">
        <v>53</v>
      </c>
    </row>
    <row r="18" customFormat="false" ht="48" hidden="false" customHeight="true" outlineLevel="0" collapsed="false">
      <c r="A18" s="19" t="s">
        <v>240</v>
      </c>
      <c r="B18" s="20" t="s">
        <v>45</v>
      </c>
      <c r="C18" s="21" t="s">
        <v>92</v>
      </c>
      <c r="D18" s="21" t="s">
        <v>241</v>
      </c>
      <c r="E18" s="19" t="s">
        <v>94</v>
      </c>
      <c r="F18" s="19" t="s">
        <v>65</v>
      </c>
      <c r="G18" s="22" t="n">
        <v>46303</v>
      </c>
      <c r="H18" s="23" t="n">
        <f aca="false">G18-Overview!$B$3</f>
        <v>25</v>
      </c>
      <c r="I18" s="21" t="s">
        <v>232</v>
      </c>
      <c r="J18" s="21" t="s">
        <v>242</v>
      </c>
      <c r="K18" s="21" t="s">
        <v>41</v>
      </c>
      <c r="L18" s="18" t="s">
        <v>52</v>
      </c>
      <c r="M18" s="21" t="s">
        <v>53</v>
      </c>
    </row>
    <row r="19" customFormat="false" ht="48" hidden="false" customHeight="true" outlineLevel="0" collapsed="false">
      <c r="A19" s="13" t="s">
        <v>243</v>
      </c>
      <c r="B19" s="20" t="s">
        <v>45</v>
      </c>
      <c r="C19" s="15" t="s">
        <v>92</v>
      </c>
      <c r="D19" s="15" t="s">
        <v>244</v>
      </c>
      <c r="E19" s="13" t="s">
        <v>94</v>
      </c>
      <c r="F19" s="13" t="s">
        <v>65</v>
      </c>
      <c r="G19" s="16" t="n">
        <v>46303</v>
      </c>
      <c r="H19" s="17" t="n">
        <f aca="false">G19-Overview!$B$3</f>
        <v>25</v>
      </c>
      <c r="I19" s="15" t="s">
        <v>232</v>
      </c>
      <c r="J19" s="15" t="s">
        <v>245</v>
      </c>
      <c r="K19" s="15" t="s">
        <v>41</v>
      </c>
      <c r="L19" s="18" t="s">
        <v>52</v>
      </c>
      <c r="M19" s="15" t="s">
        <v>53</v>
      </c>
    </row>
    <row r="20" customFormat="false" ht="48" hidden="false" customHeight="true" outlineLevel="0" collapsed="false">
      <c r="A20" s="19" t="s">
        <v>246</v>
      </c>
      <c r="B20" s="20" t="s">
        <v>45</v>
      </c>
      <c r="C20" s="21" t="s">
        <v>220</v>
      </c>
      <c r="D20" s="21" t="s">
        <v>247</v>
      </c>
      <c r="E20" s="19" t="s">
        <v>222</v>
      </c>
      <c r="F20" s="19" t="s">
        <v>180</v>
      </c>
      <c r="G20" s="22" t="n">
        <v>46304</v>
      </c>
      <c r="H20" s="23" t="n">
        <f aca="false">G20-Overview!$B$3</f>
        <v>26</v>
      </c>
      <c r="I20" s="21" t="s">
        <v>248</v>
      </c>
      <c r="J20" s="21" t="s">
        <v>249</v>
      </c>
      <c r="K20" s="21" t="s">
        <v>156</v>
      </c>
      <c r="L20" s="18" t="s">
        <v>52</v>
      </c>
      <c r="M20" s="21" t="s">
        <v>53</v>
      </c>
    </row>
    <row r="21" customFormat="false" ht="48" hidden="false" customHeight="true" outlineLevel="0" collapsed="false">
      <c r="A21" s="13" t="s">
        <v>250</v>
      </c>
      <c r="B21" s="20" t="s">
        <v>45</v>
      </c>
      <c r="C21" s="15" t="s">
        <v>77</v>
      </c>
      <c r="D21" s="15" t="s">
        <v>251</v>
      </c>
      <c r="E21" s="13" t="s">
        <v>252</v>
      </c>
      <c r="F21" s="13" t="s">
        <v>49</v>
      </c>
      <c r="G21" s="16" t="n">
        <v>46305</v>
      </c>
      <c r="H21" s="17" t="n">
        <f aca="false">G21-Overview!$B$3</f>
        <v>27</v>
      </c>
      <c r="I21" s="15" t="s">
        <v>253</v>
      </c>
      <c r="J21" s="15" t="s">
        <v>254</v>
      </c>
      <c r="K21" s="15" t="s">
        <v>41</v>
      </c>
      <c r="L21" s="18" t="s">
        <v>52</v>
      </c>
      <c r="M21" s="15" t="s">
        <v>53</v>
      </c>
    </row>
    <row r="22" customFormat="false" ht="48" hidden="false" customHeight="true" outlineLevel="0" collapsed="false">
      <c r="A22" s="19" t="s">
        <v>255</v>
      </c>
      <c r="B22" s="20" t="s">
        <v>45</v>
      </c>
      <c r="C22" s="21" t="s">
        <v>220</v>
      </c>
      <c r="D22" s="21" t="s">
        <v>256</v>
      </c>
      <c r="E22" s="19" t="s">
        <v>222</v>
      </c>
      <c r="F22" s="19" t="s">
        <v>257</v>
      </c>
      <c r="G22" s="22" t="n">
        <v>46307</v>
      </c>
      <c r="H22" s="23" t="n">
        <f aca="false">G22-Overview!$B$3</f>
        <v>29</v>
      </c>
      <c r="I22" s="21" t="s">
        <v>258</v>
      </c>
      <c r="J22" s="21" t="s">
        <v>259</v>
      </c>
      <c r="K22" s="21" t="s">
        <v>74</v>
      </c>
      <c r="L22" s="18" t="s">
        <v>52</v>
      </c>
      <c r="M22" s="21" t="s">
        <v>53</v>
      </c>
    </row>
    <row r="23" customFormat="false" ht="48" hidden="false" customHeight="true" outlineLevel="0" collapsed="false">
      <c r="A23" s="13" t="s">
        <v>277</v>
      </c>
      <c r="B23" s="25" t="s">
        <v>6</v>
      </c>
      <c r="C23" s="15" t="s">
        <v>278</v>
      </c>
      <c r="D23" s="15" t="s">
        <v>279</v>
      </c>
      <c r="E23" s="13" t="s">
        <v>280</v>
      </c>
      <c r="F23" s="13" t="s">
        <v>49</v>
      </c>
      <c r="G23" s="24"/>
      <c r="H23" s="13"/>
      <c r="I23" s="15" t="s">
        <v>281</v>
      </c>
      <c r="J23" s="15" t="s">
        <v>282</v>
      </c>
      <c r="K23" s="15" t="s">
        <v>41</v>
      </c>
      <c r="L23" s="18" t="s">
        <v>283</v>
      </c>
      <c r="M23" s="15" t="s">
        <v>284</v>
      </c>
    </row>
  </sheetData>
  <autoFilter ref="A4:M23"/>
  <mergeCells count="2">
    <mergeCell ref="A1:M1"/>
    <mergeCell ref="A2:M2"/>
  </mergeCells>
  <conditionalFormatting sqref="H5:H23">
    <cfRule type="cellIs" priority="2" operator="lessThanOrEqual" aboveAverage="0" equalAverage="0" bottom="0" percent="0" rank="0" text="" dxfId="10">
      <formula>7</formula>
    </cfRule>
    <cfRule type="cellIs" priority="3" operator="between" aboveAverage="0" equalAverage="0" bottom="0" percent="0" rank="0" text="" dxfId="11">
      <formula>8</formula>
      <formula>21</formula>
    </cfRule>
  </conditionalFormatting>
  <hyperlinks>
    <hyperlink ref="L5" r:id="rId2" display="Local Content Register"/>
    <hyperlink ref="L6" r:id="rId3" display="Local Content Register"/>
    <hyperlink ref="L7" r:id="rId4" display="Local Content Register"/>
    <hyperlink ref="L8" r:id="rId5" display="Local Content Register"/>
    <hyperlink ref="L9" r:id="rId6" display="Local Content Register"/>
    <hyperlink ref="L10" r:id="rId7" display="Local Content Register"/>
    <hyperlink ref="L11" r:id="rId8" display="Local Content Register"/>
    <hyperlink ref="L12" r:id="rId9" display="Local Content Register"/>
    <hyperlink ref="L13" r:id="rId10" display="Local Content Register"/>
    <hyperlink ref="L14" r:id="rId11" display="Local Content Register"/>
    <hyperlink ref="L15" r:id="rId12" display="Local Content Register"/>
    <hyperlink ref="L16" r:id="rId13" display="Local Content Register"/>
    <hyperlink ref="L17" r:id="rId14" display="Local Content Register"/>
    <hyperlink ref="L18" r:id="rId15" display="Local Content Register"/>
    <hyperlink ref="L19" r:id="rId16" display="Local Content Register"/>
    <hyperlink ref="L20" r:id="rId17" display="Local Content Register"/>
    <hyperlink ref="L21" r:id="rId18" display="Local Content Register"/>
    <hyperlink ref="L22" r:id="rId19" display="Local Content Register"/>
    <hyperlink ref="L23" r:id="rId20" display="UNDP procurement notic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&amp;K777777Guyana open orders snapshot | 13 Sep 2026</oddFooter>
  </headerFooter>
  <drawing r:id="rId21"/>
  <legacyDrawing r:id="rId22"/>
  <tableParts>
    <tablePart r:id="rId2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2318"/>
    <pageSetUpPr fitToPage="tru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5"/>
    <col collapsed="false" customWidth="true" hidden="false" outlineLevel="0" max="2" min="2" style="0" width="48"/>
    <col collapsed="false" customWidth="true" hidden="false" outlineLevel="0" max="3" min="3" style="0" width="35"/>
    <col collapsed="false" customWidth="true" hidden="false" outlineLevel="0" max="4" min="4" style="0" width="18"/>
    <col collapsed="false" customWidth="true" hidden="false" outlineLevel="0" max="5" min="5" style="0" width="16"/>
    <col collapsed="false" customWidth="true" hidden="false" outlineLevel="0" max="6" min="6" style="0" width="55"/>
    <col collapsed="false" customWidth="true" hidden="false" outlineLevel="0" max="7" min="7" style="0" width="24"/>
  </cols>
  <sheetData>
    <row r="1" customFormat="false" ht="30" hidden="false" customHeight="true" outlineLevel="0" collapsed="false">
      <c r="A1" s="1" t="s">
        <v>288</v>
      </c>
      <c r="B1" s="1"/>
      <c r="C1" s="1"/>
      <c r="D1" s="1"/>
      <c r="E1" s="1"/>
      <c r="F1" s="1"/>
      <c r="G1" s="1"/>
    </row>
    <row r="2" customFormat="false" ht="24" hidden="false" customHeight="true" outlineLevel="0" collapsed="false">
      <c r="A2" s="2" t="s">
        <v>289</v>
      </c>
      <c r="B2" s="2"/>
      <c r="C2" s="2"/>
      <c r="D2" s="2"/>
      <c r="E2" s="2"/>
      <c r="F2" s="2"/>
      <c r="G2" s="2"/>
    </row>
    <row r="4" customFormat="false" ht="33.75" hidden="false" customHeight="true" outlineLevel="0" collapsed="false">
      <c r="A4" s="12" t="s">
        <v>290</v>
      </c>
      <c r="B4" s="12" t="s">
        <v>24</v>
      </c>
      <c r="C4" s="12" t="s">
        <v>291</v>
      </c>
      <c r="D4" s="12" t="s">
        <v>26</v>
      </c>
      <c r="E4" s="12" t="s">
        <v>27</v>
      </c>
      <c r="F4" s="12" t="s">
        <v>292</v>
      </c>
      <c r="G4" s="12" t="s">
        <v>293</v>
      </c>
    </row>
    <row r="5" customFormat="false" ht="48" hidden="false" customHeight="true" outlineLevel="0" collapsed="false">
      <c r="A5" s="15" t="s">
        <v>294</v>
      </c>
      <c r="B5" s="15" t="s">
        <v>295</v>
      </c>
      <c r="C5" s="15" t="s">
        <v>296</v>
      </c>
      <c r="D5" s="15" t="s">
        <v>38</v>
      </c>
      <c r="E5" s="26"/>
      <c r="F5" s="15" t="s">
        <v>297</v>
      </c>
      <c r="G5" s="18" t="s">
        <v>42</v>
      </c>
    </row>
    <row r="6" customFormat="false" ht="48" hidden="false" customHeight="true" outlineLevel="0" collapsed="false">
      <c r="A6" s="21" t="s">
        <v>294</v>
      </c>
      <c r="B6" s="21" t="s">
        <v>298</v>
      </c>
      <c r="C6" s="21" t="s">
        <v>299</v>
      </c>
      <c r="D6" s="21" t="s">
        <v>38</v>
      </c>
      <c r="E6" s="26"/>
      <c r="F6" s="21" t="s">
        <v>300</v>
      </c>
      <c r="G6" s="18" t="s">
        <v>42</v>
      </c>
    </row>
    <row r="7" customFormat="false" ht="48" hidden="false" customHeight="true" outlineLevel="0" collapsed="false">
      <c r="A7" s="15" t="s">
        <v>294</v>
      </c>
      <c r="B7" s="15" t="s">
        <v>301</v>
      </c>
      <c r="C7" s="15" t="s">
        <v>299</v>
      </c>
      <c r="D7" s="15" t="s">
        <v>38</v>
      </c>
      <c r="E7" s="26"/>
      <c r="F7" s="15" t="s">
        <v>300</v>
      </c>
      <c r="G7" s="18" t="s">
        <v>42</v>
      </c>
    </row>
    <row r="8" customFormat="false" ht="48" hidden="false" customHeight="true" outlineLevel="0" collapsed="false">
      <c r="A8" s="21" t="s">
        <v>294</v>
      </c>
      <c r="B8" s="21" t="s">
        <v>302</v>
      </c>
      <c r="C8" s="21" t="s">
        <v>303</v>
      </c>
      <c r="D8" s="21" t="s">
        <v>304</v>
      </c>
      <c r="E8" s="26"/>
      <c r="F8" s="21" t="s">
        <v>305</v>
      </c>
      <c r="G8" s="18" t="s">
        <v>42</v>
      </c>
    </row>
    <row r="9" customFormat="false" ht="48" hidden="false" customHeight="true" outlineLevel="0" collapsed="false">
      <c r="A9" s="15" t="s">
        <v>294</v>
      </c>
      <c r="B9" s="15" t="s">
        <v>306</v>
      </c>
      <c r="C9" s="15" t="s">
        <v>307</v>
      </c>
      <c r="D9" s="15" t="s">
        <v>257</v>
      </c>
      <c r="E9" s="26"/>
      <c r="F9" s="15" t="s">
        <v>308</v>
      </c>
      <c r="G9" s="18" t="s">
        <v>42</v>
      </c>
    </row>
    <row r="10" customFormat="false" ht="48" hidden="false" customHeight="true" outlineLevel="0" collapsed="false">
      <c r="A10" s="21" t="s">
        <v>309</v>
      </c>
      <c r="B10" s="21" t="s">
        <v>310</v>
      </c>
      <c r="C10" s="21" t="s">
        <v>311</v>
      </c>
      <c r="D10" s="21" t="s">
        <v>49</v>
      </c>
      <c r="E10" s="26"/>
      <c r="F10" s="21" t="s">
        <v>312</v>
      </c>
      <c r="G10" s="18" t="s">
        <v>42</v>
      </c>
    </row>
    <row r="11" customFormat="false" ht="48" hidden="false" customHeight="true" outlineLevel="0" collapsed="false">
      <c r="A11" s="15" t="s">
        <v>313</v>
      </c>
      <c r="B11" s="15" t="s">
        <v>314</v>
      </c>
      <c r="C11" s="15" t="s">
        <v>315</v>
      </c>
      <c r="D11" s="15" t="s">
        <v>304</v>
      </c>
      <c r="E11" s="26"/>
      <c r="F11" s="15" t="s">
        <v>316</v>
      </c>
      <c r="G11" s="18" t="s">
        <v>317</v>
      </c>
    </row>
    <row r="12" customFormat="false" ht="48" hidden="false" customHeight="true" outlineLevel="0" collapsed="false">
      <c r="A12" s="21" t="s">
        <v>313</v>
      </c>
      <c r="B12" s="21" t="s">
        <v>318</v>
      </c>
      <c r="C12" s="21" t="s">
        <v>319</v>
      </c>
      <c r="D12" s="21" t="s">
        <v>65</v>
      </c>
      <c r="E12" s="26"/>
      <c r="F12" s="21" t="s">
        <v>320</v>
      </c>
      <c r="G12" s="18" t="s">
        <v>321</v>
      </c>
    </row>
  </sheetData>
  <mergeCells count="2">
    <mergeCell ref="A1:G1"/>
    <mergeCell ref="A2:G2"/>
  </mergeCells>
  <hyperlinks>
    <hyperlink ref="G5" r:id="rId2" display="Official DPI notice"/>
    <hyperlink ref="G6" r:id="rId3" display="Official DPI notice"/>
    <hyperlink ref="G7" r:id="rId4" display="Official DPI notice"/>
    <hyperlink ref="G8" r:id="rId5" display="Official DPI notice"/>
    <hyperlink ref="G9" r:id="rId6" display="Official DPI notice"/>
    <hyperlink ref="G10" r:id="rId7" display="Official DPI notice"/>
    <hyperlink ref="G11" r:id="rId8" display="IDB project notice"/>
    <hyperlink ref="G12" r:id="rId9" display="CDB procurement notice"/>
  </hyperlinks>
  <printOptions headings="false" gridLines="false" gridLinesSet="true" horizontalCentered="false" verticalCentered="false"/>
  <pageMargins left="0.25" right="0.25" top="0.4" bottom="0.4"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&amp;K777777Guyana open orders snapshot | 13 Sep 2026</oddFooter>
  </headerFooter>
  <legacyDrawing r:id="rId10"/>
  <tableParts>
    <tablePart r:id="rId1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24F"/>
    <pageSetUpPr fitToPage="tru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6" min="1" style="0" width="20"/>
  </cols>
  <sheetData>
    <row r="1" customFormat="false" ht="30" hidden="false" customHeight="true" outlineLevel="0" collapsed="false">
      <c r="A1" s="1" t="s">
        <v>322</v>
      </c>
      <c r="B1" s="1"/>
      <c r="C1" s="1"/>
      <c r="D1" s="1"/>
      <c r="E1" s="1"/>
      <c r="F1" s="1"/>
    </row>
    <row r="2" customFormat="false" ht="24" hidden="false" customHeight="true" outlineLevel="0" collapsed="false">
      <c r="A2" s="2" t="s">
        <v>323</v>
      </c>
      <c r="B2" s="2"/>
      <c r="C2" s="2"/>
      <c r="D2" s="2"/>
      <c r="E2" s="2"/>
      <c r="F2" s="2"/>
    </row>
    <row r="4" customFormat="false" ht="15" hidden="false" customHeight="false" outlineLevel="0" collapsed="false">
      <c r="A4" s="27" t="s">
        <v>324</v>
      </c>
      <c r="B4" s="27"/>
      <c r="C4" s="27"/>
      <c r="D4" s="27"/>
      <c r="E4" s="27"/>
      <c r="F4" s="27"/>
    </row>
    <row r="5" customFormat="false" ht="27.75" hidden="false" customHeight="true" outlineLevel="0" collapsed="false">
      <c r="A5" s="9" t="s">
        <v>325</v>
      </c>
      <c r="B5" s="9"/>
      <c r="C5" s="9"/>
      <c r="D5" s="9"/>
      <c r="E5" s="9"/>
      <c r="F5" s="9"/>
    </row>
    <row r="6" customFormat="false" ht="27.75" hidden="false" customHeight="true" outlineLevel="0" collapsed="false">
      <c r="A6" s="9" t="s">
        <v>326</v>
      </c>
      <c r="B6" s="9"/>
      <c r="C6" s="9"/>
      <c r="D6" s="9"/>
      <c r="E6" s="9"/>
      <c r="F6" s="9"/>
    </row>
    <row r="7" customFormat="false" ht="27.75" hidden="false" customHeight="true" outlineLevel="0" collapsed="false">
      <c r="A7" s="9" t="s">
        <v>327</v>
      </c>
      <c r="B7" s="9"/>
      <c r="C7" s="9"/>
      <c r="D7" s="9"/>
      <c r="E7" s="9"/>
      <c r="F7" s="9"/>
    </row>
    <row r="9" customFormat="false" ht="15" hidden="false" customHeight="false" outlineLevel="0" collapsed="false">
      <c r="A9" s="27" t="s">
        <v>328</v>
      </c>
      <c r="B9" s="27"/>
      <c r="C9" s="27"/>
      <c r="D9" s="27"/>
      <c r="E9" s="27"/>
      <c r="F9" s="27"/>
    </row>
    <row r="10" customFormat="false" ht="27.75" hidden="false" customHeight="true" outlineLevel="0" collapsed="false">
      <c r="A10" s="9" t="s">
        <v>329</v>
      </c>
      <c r="B10" s="9"/>
      <c r="C10" s="9"/>
      <c r="D10" s="9"/>
      <c r="E10" s="9"/>
      <c r="F10" s="9"/>
    </row>
    <row r="11" customFormat="false" ht="27.75" hidden="false" customHeight="true" outlineLevel="0" collapsed="false">
      <c r="A11" s="9" t="s">
        <v>330</v>
      </c>
      <c r="B11" s="9"/>
      <c r="C11" s="9"/>
      <c r="D11" s="9"/>
      <c r="E11" s="9"/>
      <c r="F11" s="9"/>
    </row>
    <row r="12" customFormat="false" ht="27.75" hidden="false" customHeight="true" outlineLevel="0" collapsed="false">
      <c r="A12" s="9" t="s">
        <v>331</v>
      </c>
      <c r="B12" s="9"/>
      <c r="C12" s="9"/>
      <c r="D12" s="9"/>
      <c r="E12" s="9"/>
      <c r="F12" s="9"/>
    </row>
    <row r="13" customFormat="false" ht="27.75" hidden="false" customHeight="true" outlineLevel="0" collapsed="false">
      <c r="A13" s="9" t="s">
        <v>332</v>
      </c>
      <c r="B13" s="9"/>
      <c r="C13" s="9"/>
      <c r="D13" s="9"/>
      <c r="E13" s="9"/>
      <c r="F13" s="9"/>
    </row>
    <row r="15" customFormat="false" ht="15" hidden="false" customHeight="false" outlineLevel="0" collapsed="false">
      <c r="A15" s="27" t="s">
        <v>333</v>
      </c>
      <c r="B15" s="27"/>
      <c r="C15" s="27"/>
      <c r="D15" s="27"/>
      <c r="E15" s="27"/>
      <c r="F15" s="27"/>
    </row>
    <row r="16" customFormat="false" ht="27.75" hidden="false" customHeight="true" outlineLevel="0" collapsed="false">
      <c r="A16" s="9" t="s">
        <v>334</v>
      </c>
      <c r="B16" s="9"/>
      <c r="C16" s="9"/>
      <c r="D16" s="9"/>
      <c r="E16" s="9"/>
      <c r="F16" s="9"/>
    </row>
    <row r="17" customFormat="false" ht="27.75" hidden="false" customHeight="true" outlineLevel="0" collapsed="false">
      <c r="A17" s="9" t="s">
        <v>335</v>
      </c>
      <c r="B17" s="9"/>
      <c r="C17" s="9"/>
      <c r="D17" s="9"/>
      <c r="E17" s="9"/>
      <c r="F17" s="9"/>
    </row>
    <row r="18" customFormat="false" ht="27.75" hidden="false" customHeight="true" outlineLevel="0" collapsed="false">
      <c r="A18" s="9" t="s">
        <v>336</v>
      </c>
      <c r="B18" s="9"/>
      <c r="C18" s="9"/>
      <c r="D18" s="9"/>
      <c r="E18" s="9"/>
      <c r="F18" s="9"/>
    </row>
    <row r="19" customFormat="false" ht="27.75" hidden="false" customHeight="true" outlineLevel="0" collapsed="false">
      <c r="A19" s="9" t="s">
        <v>337</v>
      </c>
      <c r="B19" s="9"/>
      <c r="C19" s="9"/>
      <c r="D19" s="9"/>
      <c r="E19" s="9"/>
      <c r="F19" s="9"/>
    </row>
    <row r="21" customFormat="false" ht="15" hidden="false" customHeight="false" outlineLevel="0" collapsed="false">
      <c r="A21" s="27" t="s">
        <v>338</v>
      </c>
      <c r="B21" s="27"/>
      <c r="C21" s="27"/>
      <c r="D21" s="27"/>
      <c r="E21" s="27"/>
      <c r="F21" s="27"/>
    </row>
    <row r="22" customFormat="false" ht="27.75" hidden="false" customHeight="true" outlineLevel="0" collapsed="false">
      <c r="A22" s="9" t="s">
        <v>339</v>
      </c>
      <c r="B22" s="9"/>
      <c r="C22" s="9"/>
      <c r="D22" s="9"/>
      <c r="E22" s="9"/>
      <c r="F22" s="9"/>
    </row>
    <row r="23" customFormat="false" ht="27.75" hidden="false" customHeight="true" outlineLevel="0" collapsed="false">
      <c r="A23" s="9" t="s">
        <v>340</v>
      </c>
      <c r="B23" s="9"/>
      <c r="C23" s="9"/>
      <c r="D23" s="9"/>
      <c r="E23" s="9"/>
      <c r="F23" s="9"/>
    </row>
    <row r="24" customFormat="false" ht="27.75" hidden="false" customHeight="true" outlineLevel="0" collapsed="false">
      <c r="A24" s="9" t="s">
        <v>341</v>
      </c>
      <c r="B24" s="9"/>
      <c r="C24" s="9"/>
      <c r="D24" s="9"/>
      <c r="E24" s="9"/>
      <c r="F24" s="9"/>
    </row>
    <row r="25" customFormat="false" ht="27.75" hidden="false" customHeight="true" outlineLevel="0" collapsed="false">
      <c r="A25" s="9" t="s">
        <v>342</v>
      </c>
      <c r="B25" s="9"/>
      <c r="C25" s="9"/>
      <c r="D25" s="9"/>
      <c r="E25" s="9"/>
      <c r="F25" s="9"/>
    </row>
  </sheetData>
  <mergeCells count="21">
    <mergeCell ref="A1:F1"/>
    <mergeCell ref="A2:F2"/>
    <mergeCell ref="A4:F4"/>
    <mergeCell ref="A5:F5"/>
    <mergeCell ref="A6:F6"/>
    <mergeCell ref="A7:F7"/>
    <mergeCell ref="A9:F9"/>
    <mergeCell ref="A10:F10"/>
    <mergeCell ref="A11:F11"/>
    <mergeCell ref="A12:F12"/>
    <mergeCell ref="A13:F13"/>
    <mergeCell ref="A15:F15"/>
    <mergeCell ref="A16:F16"/>
    <mergeCell ref="A17:F17"/>
    <mergeCell ref="A18:F18"/>
    <mergeCell ref="A19:F19"/>
    <mergeCell ref="A21:F21"/>
    <mergeCell ref="A22:F22"/>
    <mergeCell ref="A23:F23"/>
    <mergeCell ref="A24:F24"/>
    <mergeCell ref="A25:F25"/>
  </mergeCells>
  <printOptions headings="false" gridLines="false" gridLinesSet="true" horizontalCentered="false" verticalCentered="false"/>
  <pageMargins left="0.25" right="0.25" top="0.4" bottom="0.4"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&amp;K777777Guyana open orders snapshot | 13 Sep 2026</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2026-09-13T22:03:04Z</dcterms:created>
  <dc:creator>Groot</dc:creator>
  <dc:description/>
  <dc:language>en-US</dc:language>
  <cp:lastModifiedBy/>
  <dcterms:modified xsi:type="dcterms:W3CDTF">2026-09-13T22:03:04Z</dcterms:modified>
  <cp:revision>0</cp:revision>
  <dc:subject>Open procurement opportunities in Guyana as of 13 September 2026</dc:subject>
  <dc:title>Guyana Open Government and Private Sector Orders</dc:title>
</cp:coreProperties>
</file>

<file path=docProps/custom.xml><?xml version="1.0" encoding="utf-8"?>
<Properties xmlns="http://schemas.openxmlformats.org/officeDocument/2006/custom-properties" xmlns:vt="http://schemas.openxmlformats.org/officeDocument/2006/docPropsVTypes"/>
</file>